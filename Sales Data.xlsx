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ravanthi Komanduri\Downloads\"/>
    </mc:Choice>
  </mc:AlternateContent>
  <xr:revisionPtr revIDLastSave="0" documentId="13_ncr:1_{9CC13701-A9FE-42CD-8EE2-511E567937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K3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3" i="1"/>
  <c r="K34" i="1"/>
  <c r="K3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<sst xmlns="http://schemas.openxmlformats.org/spreadsheetml/2006/main" count="714" uniqueCount="238">
  <si>
    <t>Product</t>
  </si>
  <si>
    <t>Category</t>
  </si>
  <si>
    <t>Quantity</t>
  </si>
  <si>
    <t>PaymentMode</t>
  </si>
  <si>
    <t>Status</t>
  </si>
  <si>
    <t>C101</t>
  </si>
  <si>
    <t>Mobile</t>
  </si>
  <si>
    <t>electronics</t>
  </si>
  <si>
    <t>2024-01-02</t>
  </si>
  <si>
    <t>Delhi</t>
  </si>
  <si>
    <t>COD</t>
  </si>
  <si>
    <t>Cancelled</t>
  </si>
  <si>
    <t>C102</t>
  </si>
  <si>
    <t>Shoes</t>
  </si>
  <si>
    <t>footwear</t>
  </si>
  <si>
    <t>2024/01/03</t>
  </si>
  <si>
    <t>Bangalore</t>
  </si>
  <si>
    <t>Pending</t>
  </si>
  <si>
    <t>C103</t>
  </si>
  <si>
    <t>Tablet</t>
  </si>
  <si>
    <t>Electronics</t>
  </si>
  <si>
    <t>2024/01/04</t>
  </si>
  <si>
    <t>Cash</t>
  </si>
  <si>
    <t>Completed</t>
  </si>
  <si>
    <t>C104</t>
  </si>
  <si>
    <t>Footwear</t>
  </si>
  <si>
    <t>2024/01/05</t>
  </si>
  <si>
    <t>Pune</t>
  </si>
  <si>
    <t>C105</t>
  </si>
  <si>
    <t>Shirt</t>
  </si>
  <si>
    <t>Clothing</t>
  </si>
  <si>
    <t>2024/01/06</t>
  </si>
  <si>
    <t>Card</t>
  </si>
  <si>
    <t>C106</t>
  </si>
  <si>
    <t>Headphones</t>
  </si>
  <si>
    <t>2024-01-07</t>
  </si>
  <si>
    <t>Chennai</t>
  </si>
  <si>
    <t>C107</t>
  </si>
  <si>
    <t>2024/01/08</t>
  </si>
  <si>
    <t>C108</t>
  </si>
  <si>
    <t>09-01-2024</t>
  </si>
  <si>
    <t>C109</t>
  </si>
  <si>
    <t>Watch</t>
  </si>
  <si>
    <t>accessories</t>
  </si>
  <si>
    <t>2024/01/10</t>
  </si>
  <si>
    <t>C110</t>
  </si>
  <si>
    <t>2024-01-11</t>
  </si>
  <si>
    <t>C111</t>
  </si>
  <si>
    <t>2024/01/12</t>
  </si>
  <si>
    <t>UPI</t>
  </si>
  <si>
    <t>C112</t>
  </si>
  <si>
    <t>Accessories</t>
  </si>
  <si>
    <t>2024-01-13</t>
  </si>
  <si>
    <t>C113</t>
  </si>
  <si>
    <t>2024-01-14</t>
  </si>
  <si>
    <t>C114</t>
  </si>
  <si>
    <t>Laptop</t>
  </si>
  <si>
    <t>2024-01-15</t>
  </si>
  <si>
    <t>C115</t>
  </si>
  <si>
    <t>2024-01-16</t>
  </si>
  <si>
    <t>Hyderabad</t>
  </si>
  <si>
    <t>C116</t>
  </si>
  <si>
    <t>2024/01/17</t>
  </si>
  <si>
    <t>C117</t>
  </si>
  <si>
    <t>18-01-2024</t>
  </si>
  <si>
    <t>C118</t>
  </si>
  <si>
    <t>2024-01-19</t>
  </si>
  <si>
    <t>C119</t>
  </si>
  <si>
    <t>20-01-2024</t>
  </si>
  <si>
    <t>C120</t>
  </si>
  <si>
    <t>21-01-2024</t>
  </si>
  <si>
    <t>C121</t>
  </si>
  <si>
    <t>2024/01/22</t>
  </si>
  <si>
    <t>Mumbai</t>
  </si>
  <si>
    <t>C122</t>
  </si>
  <si>
    <t>2024/01/23</t>
  </si>
  <si>
    <t>C123</t>
  </si>
  <si>
    <t>24-01-2024</t>
  </si>
  <si>
    <t>C124</t>
  </si>
  <si>
    <t>25-01-2024</t>
  </si>
  <si>
    <t>C125</t>
  </si>
  <si>
    <t>26-01-2024</t>
  </si>
  <si>
    <t>C126</t>
  </si>
  <si>
    <t>2024-01-27</t>
  </si>
  <si>
    <t>C127</t>
  </si>
  <si>
    <t>28-01-2024</t>
  </si>
  <si>
    <t>C128</t>
  </si>
  <si>
    <t>29-01-2024</t>
  </si>
  <si>
    <t>C129</t>
  </si>
  <si>
    <t>2024/01/30</t>
  </si>
  <si>
    <t>C130</t>
  </si>
  <si>
    <t>2024/01/31</t>
  </si>
  <si>
    <t>C131</t>
  </si>
  <si>
    <t>2024/02/01</t>
  </si>
  <si>
    <t>C132</t>
  </si>
  <si>
    <t>2024/02/02</t>
  </si>
  <si>
    <t>C133</t>
  </si>
  <si>
    <t>2024-02-03</t>
  </si>
  <si>
    <t>C134</t>
  </si>
  <si>
    <t>2024-02-04</t>
  </si>
  <si>
    <t>C135</t>
  </si>
  <si>
    <t>05-02-2024</t>
  </si>
  <si>
    <t>C136</t>
  </si>
  <si>
    <t>06-02-2024</t>
  </si>
  <si>
    <t>C137</t>
  </si>
  <si>
    <t>07-02-2024</t>
  </si>
  <si>
    <t>C138</t>
  </si>
  <si>
    <t>08-02-2024</t>
  </si>
  <si>
    <t>C139</t>
  </si>
  <si>
    <t>09-02-2024</t>
  </si>
  <si>
    <t>C140</t>
  </si>
  <si>
    <t>2024-02-10</t>
  </si>
  <si>
    <t>C141</t>
  </si>
  <si>
    <t>2024/02/11</t>
  </si>
  <si>
    <t>C142</t>
  </si>
  <si>
    <t>2024/02/12</t>
  </si>
  <si>
    <t>C143</t>
  </si>
  <si>
    <t>2024/02/13</t>
  </si>
  <si>
    <t>C144</t>
  </si>
  <si>
    <t>14-02-2024</t>
  </si>
  <si>
    <t>C145</t>
  </si>
  <si>
    <t>2024-02-15</t>
  </si>
  <si>
    <t>C146</t>
  </si>
  <si>
    <t>2024/02/16</t>
  </si>
  <si>
    <t>C147</t>
  </si>
  <si>
    <t>17-02-2024</t>
  </si>
  <si>
    <t>C148</t>
  </si>
  <si>
    <t>2024-02-18</t>
  </si>
  <si>
    <t>C149</t>
  </si>
  <si>
    <t>2024/02/19</t>
  </si>
  <si>
    <t>C150</t>
  </si>
  <si>
    <t>2024-02-20</t>
  </si>
  <si>
    <t>C151</t>
  </si>
  <si>
    <t>2024-02-21</t>
  </si>
  <si>
    <t>C152</t>
  </si>
  <si>
    <t>2024-02-22</t>
  </si>
  <si>
    <t>C153</t>
  </si>
  <si>
    <t>2024-02-23</t>
  </si>
  <si>
    <t>C154</t>
  </si>
  <si>
    <t>clothing</t>
  </si>
  <si>
    <t>24-02-2024</t>
  </si>
  <si>
    <t>C155</t>
  </si>
  <si>
    <t>2024-02-25</t>
  </si>
  <si>
    <t>C156</t>
  </si>
  <si>
    <t>2024/02/26</t>
  </si>
  <si>
    <t>C157</t>
  </si>
  <si>
    <t>27-02-2024</t>
  </si>
  <si>
    <t>C158</t>
  </si>
  <si>
    <t>28-02-2024</t>
  </si>
  <si>
    <t>C159</t>
  </si>
  <si>
    <t>2024/02/29</t>
  </si>
  <si>
    <t>C160</t>
  </si>
  <si>
    <t>2024/03/01</t>
  </si>
  <si>
    <t>C161</t>
  </si>
  <si>
    <t>2024-03-02</t>
  </si>
  <si>
    <t>C162</t>
  </si>
  <si>
    <t>2024/03/03</t>
  </si>
  <si>
    <t>C163</t>
  </si>
  <si>
    <t>04-03-2024</t>
  </si>
  <si>
    <t>C164</t>
  </si>
  <si>
    <t>2024-03-05</t>
  </si>
  <si>
    <t>C165</t>
  </si>
  <si>
    <t>2024-03-06</t>
  </si>
  <si>
    <t>C166</t>
  </si>
  <si>
    <t>07-03-2024</t>
  </si>
  <si>
    <t>C167</t>
  </si>
  <si>
    <t>2024-03-08</t>
  </si>
  <si>
    <t>C168</t>
  </si>
  <si>
    <t>2024-03-09</t>
  </si>
  <si>
    <t>C169</t>
  </si>
  <si>
    <t>10-03-2024</t>
  </si>
  <si>
    <t>C170</t>
  </si>
  <si>
    <t>2024/03/11</t>
  </si>
  <si>
    <t>C171</t>
  </si>
  <si>
    <t>2024/03/12</t>
  </si>
  <si>
    <t>C172</t>
  </si>
  <si>
    <t>2024/03/13</t>
  </si>
  <si>
    <t>C173</t>
  </si>
  <si>
    <t>14-03-2024</t>
  </si>
  <si>
    <t>C174</t>
  </si>
  <si>
    <t>15-03-2024</t>
  </si>
  <si>
    <t>C175</t>
  </si>
  <si>
    <t>2024-03-16</t>
  </si>
  <si>
    <t>C176</t>
  </si>
  <si>
    <t>2024-03-17</t>
  </si>
  <si>
    <t>C177</t>
  </si>
  <si>
    <t>18-03-2024</t>
  </si>
  <si>
    <t>C178</t>
  </si>
  <si>
    <t>2024/03/19</t>
  </si>
  <si>
    <t>C179</t>
  </si>
  <si>
    <t>20-03-2024</t>
  </si>
  <si>
    <t>C180</t>
  </si>
  <si>
    <t>21-03-2024</t>
  </si>
  <si>
    <t>C181</t>
  </si>
  <si>
    <t>C182</t>
  </si>
  <si>
    <t>2024-03-23</t>
  </si>
  <si>
    <t>C183</t>
  </si>
  <si>
    <t>2024/03/24</t>
  </si>
  <si>
    <t>C184</t>
  </si>
  <si>
    <t>2024-03-25</t>
  </si>
  <si>
    <t>C185</t>
  </si>
  <si>
    <t>26-03-2024</t>
  </si>
  <si>
    <t>C186</t>
  </si>
  <si>
    <t>27-03-2024</t>
  </si>
  <si>
    <t>C187</t>
  </si>
  <si>
    <t>2024-03-28</t>
  </si>
  <si>
    <t>C188</t>
  </si>
  <si>
    <t>2024/03/29</t>
  </si>
  <si>
    <t>C189</t>
  </si>
  <si>
    <t>2024/03/30</t>
  </si>
  <si>
    <t>C190</t>
  </si>
  <si>
    <t>2024/03/31</t>
  </si>
  <si>
    <t>C191</t>
  </si>
  <si>
    <t>01-04-2024</t>
  </si>
  <si>
    <t>C192</t>
  </si>
  <si>
    <t>02-04-2024</t>
  </si>
  <si>
    <t>C193</t>
  </si>
  <si>
    <t>2024-04-03</t>
  </si>
  <si>
    <t>C194</t>
  </si>
  <si>
    <t>2024/04/04</t>
  </si>
  <si>
    <t>C195</t>
  </si>
  <si>
    <t>2024-04-05</t>
  </si>
  <si>
    <t>C196</t>
  </si>
  <si>
    <t>2024/04/06</t>
  </si>
  <si>
    <t>C197</t>
  </si>
  <si>
    <t>2024-04-07</t>
  </si>
  <si>
    <t>C198</t>
  </si>
  <si>
    <t>2024-04-08</t>
  </si>
  <si>
    <t>C199</t>
  </si>
  <si>
    <t>09-04-2024</t>
  </si>
  <si>
    <t>C200</t>
  </si>
  <si>
    <t>2024-04-10</t>
  </si>
  <si>
    <t>order_id</t>
  </si>
  <si>
    <t>price_amount</t>
  </si>
  <si>
    <t>city_name</t>
  </si>
  <si>
    <t>customer_id</t>
  </si>
  <si>
    <t>NA</t>
  </si>
  <si>
    <t>Order_Date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</si>
</sst>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J67" sqref="J67"/>
    </sheetView>
  </sheetViews>
  <sheetFormatPr defaultRowHeight="14.5" x14ac:dyDescent="0.35"/>
  <cols>
    <col min="2" max="2" width="16.54296875" customWidth="1"/>
    <col min="5" max="5" width="19.1796875" customWidth="1"/>
    <col min="6" max="6" width="15.90625" customWidth="1"/>
    <col min="8" max="8" width="14.36328125" customWidth="1"/>
    <col min="9" max="9" width="25.08984375" style="3" customWidth="1"/>
    <col min="10" max="11" width="17.08984375" customWidth="1"/>
  </cols>
  <sheetData>
    <row r="1" spans="1:16" x14ac:dyDescent="0.35">
      <c r="A1" t="s">
        <v>232</v>
      </c>
      <c r="B1" t="s">
        <v>235</v>
      </c>
      <c r="C1" t="s">
        <v>0</v>
      </c>
      <c r="D1" t="s">
        <v>1</v>
      </c>
      <c r="E1" t="s">
        <v>1</v>
      </c>
      <c r="F1" t="s">
        <v>233</v>
      </c>
      <c r="G1" t="s">
        <v>2</v>
      </c>
      <c r="H1" t="s">
        <v>237</v>
      </c>
      <c r="I1" s="3" t="s">
        <v>237</v>
      </c>
      <c r="J1" t="s">
        <v>234</v>
      </c>
      <c r="K1" t="s">
        <v>234</v>
      </c>
      <c r="L1" t="s">
        <v>3</v>
      </c>
      <c r="M1" t="s">
        <v>4</v>
      </c>
    </row>
    <row r="2" spans="1:16" x14ac:dyDescent="0.35">
      <c r="A2">
        <v>1</v>
      </c>
      <c r="B2" t="s">
        <v>5</v>
      </c>
      <c r="C2" t="s">
        <v>6</v>
      </c>
      <c r="D2" t="s">
        <v>7</v>
      </c>
      <c r="E2" t="str">
        <f>PROPER(D:D)</f>
        <v>Electronics</v>
      </c>
      <c r="F2">
        <v>20000</v>
      </c>
      <c r="G2">
        <v>3</v>
      </c>
      <c r="H2" t="str">
        <f>TEXT(I:I,"dd-mm-yyyy")</f>
        <v>02-01-2024</v>
      </c>
      <c r="I2" s="3" t="s">
        <v>8</v>
      </c>
      <c r="J2" t="s">
        <v>9</v>
      </c>
      <c r="K2" t="str">
        <f>PROPER(J:J)</f>
        <v>Delhi</v>
      </c>
      <c r="L2" t="s">
        <v>10</v>
      </c>
      <c r="M2" t="s">
        <v>11</v>
      </c>
    </row>
    <row r="3" spans="1:16" x14ac:dyDescent="0.35">
      <c r="A3">
        <v>2</v>
      </c>
      <c r="B3" t="s">
        <v>12</v>
      </c>
      <c r="C3" t="s">
        <v>13</v>
      </c>
      <c r="D3" t="s">
        <v>14</v>
      </c>
      <c r="E3" t="str">
        <f t="shared" ref="E3:E66" si="0">PROPER(D:D)</f>
        <v>Footwear</v>
      </c>
      <c r="F3">
        <v>3000</v>
      </c>
      <c r="G3">
        <v>1</v>
      </c>
      <c r="H3" t="str">
        <f t="shared" ref="H3:H66" si="1">TEXT(I:I,"dd-mm-yyyy")</f>
        <v>03-01-2024</v>
      </c>
      <c r="I3" s="3" t="s">
        <v>15</v>
      </c>
      <c r="J3" t="s">
        <v>16</v>
      </c>
      <c r="K3" t="str">
        <f>PROPER(J:J)</f>
        <v>Bangalore</v>
      </c>
      <c r="L3" t="s">
        <v>10</v>
      </c>
      <c r="M3" t="s">
        <v>17</v>
      </c>
      <c r="O3" s="2"/>
    </row>
    <row r="4" spans="1:16" x14ac:dyDescent="0.35">
      <c r="A4">
        <v>3</v>
      </c>
      <c r="B4" t="s">
        <v>18</v>
      </c>
      <c r="C4" t="s">
        <v>19</v>
      </c>
      <c r="D4" t="s">
        <v>20</v>
      </c>
      <c r="E4" t="str">
        <f t="shared" si="0"/>
        <v>Electronics</v>
      </c>
      <c r="F4">
        <v>18000</v>
      </c>
      <c r="G4">
        <v>3</v>
      </c>
      <c r="H4" t="str">
        <f t="shared" si="1"/>
        <v>04-01-2024</v>
      </c>
      <c r="I4" s="3" t="s">
        <v>21</v>
      </c>
      <c r="J4" t="s">
        <v>16</v>
      </c>
      <c r="K4" t="str">
        <f>PROPER(J:J)</f>
        <v>Bangalore</v>
      </c>
      <c r="L4" t="s">
        <v>22</v>
      </c>
      <c r="M4" t="s">
        <v>23</v>
      </c>
      <c r="O4" s="2"/>
    </row>
    <row r="5" spans="1:16" x14ac:dyDescent="0.35">
      <c r="A5">
        <v>4</v>
      </c>
      <c r="B5" t="s">
        <v>24</v>
      </c>
      <c r="C5" t="s">
        <v>13</v>
      </c>
      <c r="D5" t="s">
        <v>25</v>
      </c>
      <c r="E5" t="str">
        <f t="shared" si="0"/>
        <v>Footwear</v>
      </c>
      <c r="F5">
        <v>3000</v>
      </c>
      <c r="G5">
        <v>1</v>
      </c>
      <c r="H5" t="str">
        <f t="shared" si="1"/>
        <v>05-01-2024</v>
      </c>
      <c r="I5" s="3" t="s">
        <v>26</v>
      </c>
      <c r="J5" t="s">
        <v>27</v>
      </c>
      <c r="K5" t="str">
        <f>PROPER(J:J)</f>
        <v>Pune</v>
      </c>
      <c r="L5" t="s">
        <v>22</v>
      </c>
      <c r="M5" t="s">
        <v>23</v>
      </c>
      <c r="P5" s="1"/>
    </row>
    <row r="6" spans="1:16" x14ac:dyDescent="0.35">
      <c r="A6">
        <v>5</v>
      </c>
      <c r="B6" t="s">
        <v>28</v>
      </c>
      <c r="C6" t="s">
        <v>29</v>
      </c>
      <c r="D6" t="s">
        <v>30</v>
      </c>
      <c r="E6" t="str">
        <f t="shared" si="0"/>
        <v>Clothing</v>
      </c>
      <c r="F6">
        <v>1200</v>
      </c>
      <c r="G6">
        <v>2</v>
      </c>
      <c r="H6" t="str">
        <f t="shared" si="1"/>
        <v>06-01-2024</v>
      </c>
      <c r="I6" s="3" t="s">
        <v>31</v>
      </c>
      <c r="J6" t="s">
        <v>9</v>
      </c>
      <c r="K6" t="str">
        <f>PROPER(J:J)</f>
        <v>Delhi</v>
      </c>
      <c r="L6" t="s">
        <v>32</v>
      </c>
      <c r="M6" t="s">
        <v>23</v>
      </c>
    </row>
    <row r="7" spans="1:16" x14ac:dyDescent="0.35">
      <c r="A7">
        <v>6</v>
      </c>
      <c r="B7" t="s">
        <v>33</v>
      </c>
      <c r="C7" t="s">
        <v>34</v>
      </c>
      <c r="D7" t="s">
        <v>7</v>
      </c>
      <c r="E7" t="str">
        <f t="shared" si="0"/>
        <v>Electronics</v>
      </c>
      <c r="F7">
        <v>1500</v>
      </c>
      <c r="G7">
        <v>3</v>
      </c>
      <c r="H7" t="str">
        <f t="shared" si="1"/>
        <v>07-01-2024</v>
      </c>
      <c r="I7" s="3" t="s">
        <v>35</v>
      </c>
      <c r="J7" t="s">
        <v>36</v>
      </c>
      <c r="K7" t="str">
        <f>PROPER(J:J)</f>
        <v>Chennai</v>
      </c>
      <c r="L7" t="s">
        <v>22</v>
      </c>
      <c r="M7" t="s">
        <v>23</v>
      </c>
    </row>
    <row r="8" spans="1:16" x14ac:dyDescent="0.35">
      <c r="A8">
        <v>7</v>
      </c>
      <c r="B8" t="s">
        <v>37</v>
      </c>
      <c r="C8" t="s">
        <v>13</v>
      </c>
      <c r="D8" t="s">
        <v>25</v>
      </c>
      <c r="E8" t="str">
        <f t="shared" si="0"/>
        <v>Footwear</v>
      </c>
      <c r="F8">
        <v>3000</v>
      </c>
      <c r="G8">
        <v>2</v>
      </c>
      <c r="H8" t="str">
        <f t="shared" si="1"/>
        <v>08-01-2024</v>
      </c>
      <c r="I8" s="3" t="s">
        <v>38</v>
      </c>
      <c r="J8" t="s">
        <v>36</v>
      </c>
      <c r="K8" t="str">
        <f>PROPER(J:J)</f>
        <v>Chennai</v>
      </c>
      <c r="L8" t="s">
        <v>32</v>
      </c>
      <c r="M8" t="s">
        <v>17</v>
      </c>
    </row>
    <row r="9" spans="1:16" x14ac:dyDescent="0.35">
      <c r="A9">
        <v>8</v>
      </c>
      <c r="B9" t="s">
        <v>39</v>
      </c>
      <c r="C9" t="s">
        <v>13</v>
      </c>
      <c r="D9" t="s">
        <v>25</v>
      </c>
      <c r="E9" t="str">
        <f t="shared" si="0"/>
        <v>Footwear</v>
      </c>
      <c r="F9">
        <v>3000</v>
      </c>
      <c r="G9">
        <v>2</v>
      </c>
      <c r="H9" t="str">
        <f t="shared" si="1"/>
        <v>09-01-2024</v>
      </c>
      <c r="I9" s="3" t="s">
        <v>40</v>
      </c>
      <c r="J9" t="s">
        <v>36</v>
      </c>
      <c r="K9" t="str">
        <f>PROPER(J:J)</f>
        <v>Chennai</v>
      </c>
      <c r="L9" t="s">
        <v>32</v>
      </c>
      <c r="M9" t="s">
        <v>17</v>
      </c>
    </row>
    <row r="10" spans="1:16" x14ac:dyDescent="0.35">
      <c r="A10">
        <v>9</v>
      </c>
      <c r="B10" t="s">
        <v>41</v>
      </c>
      <c r="C10" t="s">
        <v>42</v>
      </c>
      <c r="D10" t="s">
        <v>43</v>
      </c>
      <c r="E10" t="str">
        <f t="shared" si="0"/>
        <v>Accessories</v>
      </c>
      <c r="F10">
        <v>2500</v>
      </c>
      <c r="G10">
        <v>2</v>
      </c>
      <c r="H10" t="str">
        <f t="shared" si="1"/>
        <v>10-01-2024</v>
      </c>
      <c r="I10" s="3" t="s">
        <v>44</v>
      </c>
      <c r="J10" t="s">
        <v>236</v>
      </c>
      <c r="K10" t="s">
        <v>236</v>
      </c>
      <c r="L10" t="s">
        <v>10</v>
      </c>
      <c r="M10" t="s">
        <v>23</v>
      </c>
    </row>
    <row r="11" spans="1:16" x14ac:dyDescent="0.35">
      <c r="A11">
        <v>10</v>
      </c>
      <c r="B11" t="s">
        <v>45</v>
      </c>
      <c r="C11" t="s">
        <v>19</v>
      </c>
      <c r="D11" t="s">
        <v>20</v>
      </c>
      <c r="E11" t="str">
        <f t="shared" si="0"/>
        <v>Electronics</v>
      </c>
      <c r="F11">
        <v>18000</v>
      </c>
      <c r="G11">
        <v>1</v>
      </c>
      <c r="H11" t="str">
        <f t="shared" si="1"/>
        <v>11-01-2024</v>
      </c>
      <c r="I11" s="3" t="s">
        <v>46</v>
      </c>
      <c r="J11" t="s">
        <v>16</v>
      </c>
      <c r="K11" t="str">
        <f>PROPER(J:J)</f>
        <v>Bangalore</v>
      </c>
      <c r="L11" t="s">
        <v>10</v>
      </c>
      <c r="M11" t="s">
        <v>11</v>
      </c>
    </row>
    <row r="12" spans="1:16" x14ac:dyDescent="0.35">
      <c r="A12">
        <v>11</v>
      </c>
      <c r="B12" t="s">
        <v>47</v>
      </c>
      <c r="C12" t="s">
        <v>6</v>
      </c>
      <c r="D12" t="s">
        <v>7</v>
      </c>
      <c r="E12" t="str">
        <f t="shared" si="0"/>
        <v>Electronics</v>
      </c>
      <c r="F12">
        <v>20000</v>
      </c>
      <c r="G12">
        <v>3</v>
      </c>
      <c r="H12" t="str">
        <f t="shared" si="1"/>
        <v>12-01-2024</v>
      </c>
      <c r="I12" s="3" t="s">
        <v>48</v>
      </c>
      <c r="J12" t="s">
        <v>16</v>
      </c>
      <c r="K12" t="str">
        <f>PROPER(J:J)</f>
        <v>Bangalore</v>
      </c>
      <c r="L12" t="s">
        <v>49</v>
      </c>
      <c r="M12" t="s">
        <v>11</v>
      </c>
    </row>
    <row r="13" spans="1:16" x14ac:dyDescent="0.35">
      <c r="A13">
        <v>12</v>
      </c>
      <c r="B13" t="s">
        <v>50</v>
      </c>
      <c r="C13" t="s">
        <v>42</v>
      </c>
      <c r="D13" t="s">
        <v>51</v>
      </c>
      <c r="E13" t="str">
        <f t="shared" si="0"/>
        <v>Accessories</v>
      </c>
      <c r="F13">
        <v>2500</v>
      </c>
      <c r="G13">
        <v>1</v>
      </c>
      <c r="H13" t="str">
        <f t="shared" si="1"/>
        <v>13-01-2024</v>
      </c>
      <c r="I13" s="3" t="s">
        <v>52</v>
      </c>
      <c r="J13" t="s">
        <v>9</v>
      </c>
      <c r="K13" t="str">
        <f>PROPER(J:J)</f>
        <v>Delhi</v>
      </c>
      <c r="L13" t="s">
        <v>10</v>
      </c>
      <c r="M13" t="s">
        <v>23</v>
      </c>
    </row>
    <row r="14" spans="1:16" x14ac:dyDescent="0.35">
      <c r="A14">
        <v>13</v>
      </c>
      <c r="B14" t="s">
        <v>53</v>
      </c>
      <c r="C14" t="s">
        <v>19</v>
      </c>
      <c r="D14" t="s">
        <v>20</v>
      </c>
      <c r="E14" t="str">
        <f t="shared" si="0"/>
        <v>Electronics</v>
      </c>
      <c r="F14">
        <v>18000</v>
      </c>
      <c r="G14">
        <v>3</v>
      </c>
      <c r="H14" t="str">
        <f t="shared" si="1"/>
        <v>14-01-2024</v>
      </c>
      <c r="I14" s="3" t="s">
        <v>54</v>
      </c>
      <c r="J14" t="s">
        <v>9</v>
      </c>
      <c r="K14" t="str">
        <f>PROPER(J:J)</f>
        <v>Delhi</v>
      </c>
      <c r="L14" t="s">
        <v>49</v>
      </c>
      <c r="M14" t="s">
        <v>17</v>
      </c>
    </row>
    <row r="15" spans="1:16" x14ac:dyDescent="0.35">
      <c r="A15">
        <v>14</v>
      </c>
      <c r="B15" t="s">
        <v>55</v>
      </c>
      <c r="C15" t="s">
        <v>56</v>
      </c>
      <c r="D15" t="s">
        <v>20</v>
      </c>
      <c r="E15" t="str">
        <f t="shared" si="0"/>
        <v>Electronics</v>
      </c>
      <c r="F15">
        <v>55000</v>
      </c>
      <c r="G15">
        <v>2</v>
      </c>
      <c r="H15" t="str">
        <f t="shared" si="1"/>
        <v>15-01-2024</v>
      </c>
      <c r="I15" s="3" t="s">
        <v>57</v>
      </c>
      <c r="J15" t="s">
        <v>27</v>
      </c>
      <c r="K15" t="str">
        <f>PROPER(J:J)</f>
        <v>Pune</v>
      </c>
      <c r="L15" t="s">
        <v>32</v>
      </c>
      <c r="M15" t="s">
        <v>23</v>
      </c>
    </row>
    <row r="16" spans="1:16" x14ac:dyDescent="0.35">
      <c r="A16">
        <v>15</v>
      </c>
      <c r="B16" t="s">
        <v>58</v>
      </c>
      <c r="C16" t="s">
        <v>6</v>
      </c>
      <c r="D16" t="s">
        <v>20</v>
      </c>
      <c r="E16" t="str">
        <f t="shared" si="0"/>
        <v>Electronics</v>
      </c>
      <c r="F16">
        <v>20000</v>
      </c>
      <c r="G16">
        <v>3</v>
      </c>
      <c r="H16" t="str">
        <f t="shared" si="1"/>
        <v>16-01-2024</v>
      </c>
      <c r="I16" s="3" t="s">
        <v>59</v>
      </c>
      <c r="J16" t="s">
        <v>60</v>
      </c>
      <c r="K16" t="str">
        <f>PROPER(J:J)</f>
        <v>Hyderabad</v>
      </c>
      <c r="L16" t="s">
        <v>32</v>
      </c>
      <c r="M16" t="s">
        <v>17</v>
      </c>
    </row>
    <row r="17" spans="1:13" x14ac:dyDescent="0.35">
      <c r="A17">
        <v>16</v>
      </c>
      <c r="B17" t="s">
        <v>61</v>
      </c>
      <c r="C17" t="s">
        <v>6</v>
      </c>
      <c r="D17" t="s">
        <v>7</v>
      </c>
      <c r="E17" t="str">
        <f t="shared" si="0"/>
        <v>Electronics</v>
      </c>
      <c r="F17">
        <v>20000</v>
      </c>
      <c r="G17">
        <v>1</v>
      </c>
      <c r="H17" t="str">
        <f t="shared" si="1"/>
        <v>17-01-2024</v>
      </c>
      <c r="I17" s="3" t="s">
        <v>62</v>
      </c>
      <c r="J17" t="s">
        <v>36</v>
      </c>
      <c r="K17" t="str">
        <f>PROPER(J:J)</f>
        <v>Chennai</v>
      </c>
      <c r="L17" t="s">
        <v>10</v>
      </c>
      <c r="M17" t="s">
        <v>17</v>
      </c>
    </row>
    <row r="18" spans="1:13" x14ac:dyDescent="0.35">
      <c r="A18">
        <v>17</v>
      </c>
      <c r="B18" t="s">
        <v>63</v>
      </c>
      <c r="C18" t="s">
        <v>13</v>
      </c>
      <c r="D18" t="s">
        <v>25</v>
      </c>
      <c r="E18" t="str">
        <f t="shared" si="0"/>
        <v>Footwear</v>
      </c>
      <c r="F18">
        <v>3000</v>
      </c>
      <c r="G18">
        <v>3</v>
      </c>
      <c r="H18" t="str">
        <f t="shared" si="1"/>
        <v>18-01-2024</v>
      </c>
      <c r="I18" s="3" t="s">
        <v>64</v>
      </c>
      <c r="J18" t="s">
        <v>27</v>
      </c>
      <c r="K18" t="str">
        <f>PROPER(J:J)</f>
        <v>Pune</v>
      </c>
      <c r="L18" t="s">
        <v>10</v>
      </c>
      <c r="M18" t="s">
        <v>17</v>
      </c>
    </row>
    <row r="19" spans="1:13" x14ac:dyDescent="0.35">
      <c r="A19">
        <v>18</v>
      </c>
      <c r="B19" t="s">
        <v>65</v>
      </c>
      <c r="C19" t="s">
        <v>13</v>
      </c>
      <c r="D19" t="s">
        <v>25</v>
      </c>
      <c r="E19" t="str">
        <f t="shared" si="0"/>
        <v>Footwear</v>
      </c>
      <c r="F19">
        <v>3000</v>
      </c>
      <c r="G19">
        <v>3</v>
      </c>
      <c r="H19" t="str">
        <f t="shared" si="1"/>
        <v>19-01-2024</v>
      </c>
      <c r="I19" s="3" t="s">
        <v>66</v>
      </c>
      <c r="J19" t="s">
        <v>9</v>
      </c>
      <c r="K19" t="str">
        <f>PROPER(J:J)</f>
        <v>Delhi</v>
      </c>
      <c r="L19" t="s">
        <v>49</v>
      </c>
      <c r="M19" t="s">
        <v>17</v>
      </c>
    </row>
    <row r="20" spans="1:13" x14ac:dyDescent="0.35">
      <c r="A20">
        <v>19</v>
      </c>
      <c r="B20" t="s">
        <v>67</v>
      </c>
      <c r="C20" t="s">
        <v>13</v>
      </c>
      <c r="D20" t="s">
        <v>14</v>
      </c>
      <c r="E20" t="str">
        <f t="shared" si="0"/>
        <v>Footwear</v>
      </c>
      <c r="F20">
        <v>3000</v>
      </c>
      <c r="G20">
        <v>1</v>
      </c>
      <c r="H20" t="str">
        <f t="shared" si="1"/>
        <v>20-01-2024</v>
      </c>
      <c r="I20" s="3" t="s">
        <v>68</v>
      </c>
      <c r="J20" t="s">
        <v>9</v>
      </c>
      <c r="K20" t="str">
        <f>PROPER(J:J)</f>
        <v>Delhi</v>
      </c>
      <c r="L20" t="s">
        <v>49</v>
      </c>
      <c r="M20" t="s">
        <v>11</v>
      </c>
    </row>
    <row r="21" spans="1:13" x14ac:dyDescent="0.35">
      <c r="A21">
        <v>20</v>
      </c>
      <c r="B21" t="s">
        <v>69</v>
      </c>
      <c r="C21" t="s">
        <v>13</v>
      </c>
      <c r="D21" t="s">
        <v>25</v>
      </c>
      <c r="E21" t="str">
        <f t="shared" si="0"/>
        <v>Footwear</v>
      </c>
      <c r="F21">
        <v>3000</v>
      </c>
      <c r="G21">
        <v>1</v>
      </c>
      <c r="H21" t="str">
        <f t="shared" si="1"/>
        <v>21-01-2024</v>
      </c>
      <c r="I21" s="3" t="s">
        <v>70</v>
      </c>
      <c r="J21" t="s">
        <v>9</v>
      </c>
      <c r="K21" t="str">
        <f>PROPER(J:J)</f>
        <v>Delhi</v>
      </c>
      <c r="L21" t="s">
        <v>49</v>
      </c>
      <c r="M21" t="s">
        <v>23</v>
      </c>
    </row>
    <row r="22" spans="1:13" x14ac:dyDescent="0.35">
      <c r="A22">
        <v>21</v>
      </c>
      <c r="B22" t="s">
        <v>71</v>
      </c>
      <c r="C22" t="s">
        <v>56</v>
      </c>
      <c r="D22" t="s">
        <v>20</v>
      </c>
      <c r="E22" t="str">
        <f t="shared" si="0"/>
        <v>Electronics</v>
      </c>
      <c r="F22">
        <v>55000</v>
      </c>
      <c r="G22">
        <v>1</v>
      </c>
      <c r="H22" t="str">
        <f t="shared" si="1"/>
        <v>22-01-2024</v>
      </c>
      <c r="I22" s="3" t="s">
        <v>72</v>
      </c>
      <c r="J22" t="s">
        <v>73</v>
      </c>
      <c r="K22" t="str">
        <f>PROPER(J:J)</f>
        <v>Mumbai</v>
      </c>
      <c r="L22" t="s">
        <v>32</v>
      </c>
      <c r="M22" t="s">
        <v>11</v>
      </c>
    </row>
    <row r="23" spans="1:13" x14ac:dyDescent="0.35">
      <c r="A23">
        <v>22</v>
      </c>
      <c r="B23" t="s">
        <v>74</v>
      </c>
      <c r="C23" t="s">
        <v>6</v>
      </c>
      <c r="D23" t="s">
        <v>20</v>
      </c>
      <c r="E23" t="str">
        <f t="shared" si="0"/>
        <v>Electronics</v>
      </c>
      <c r="F23">
        <v>20000</v>
      </c>
      <c r="G23">
        <v>1</v>
      </c>
      <c r="H23" t="str">
        <f t="shared" si="1"/>
        <v>23-01-2024</v>
      </c>
      <c r="I23" s="3" t="s">
        <v>75</v>
      </c>
      <c r="J23" t="s">
        <v>36</v>
      </c>
      <c r="K23" t="str">
        <f>PROPER(J:J)</f>
        <v>Chennai</v>
      </c>
      <c r="L23" t="s">
        <v>10</v>
      </c>
      <c r="M23" t="s">
        <v>17</v>
      </c>
    </row>
    <row r="24" spans="1:13" x14ac:dyDescent="0.35">
      <c r="A24">
        <v>23</v>
      </c>
      <c r="B24" t="s">
        <v>76</v>
      </c>
      <c r="C24" t="s">
        <v>6</v>
      </c>
      <c r="D24" t="s">
        <v>7</v>
      </c>
      <c r="E24" t="str">
        <f t="shared" si="0"/>
        <v>Electronics</v>
      </c>
      <c r="F24">
        <v>20000</v>
      </c>
      <c r="G24">
        <v>1</v>
      </c>
      <c r="H24" t="str">
        <f t="shared" si="1"/>
        <v>24-01-2024</v>
      </c>
      <c r="I24" s="3" t="s">
        <v>77</v>
      </c>
      <c r="J24" t="s">
        <v>60</v>
      </c>
      <c r="K24" t="str">
        <f>PROPER(J:J)</f>
        <v>Hyderabad</v>
      </c>
      <c r="L24" t="s">
        <v>10</v>
      </c>
      <c r="M24" t="s">
        <v>11</v>
      </c>
    </row>
    <row r="25" spans="1:13" x14ac:dyDescent="0.35">
      <c r="A25">
        <v>24</v>
      </c>
      <c r="B25" t="s">
        <v>78</v>
      </c>
      <c r="C25" t="s">
        <v>236</v>
      </c>
      <c r="D25" t="s">
        <v>30</v>
      </c>
      <c r="E25" t="str">
        <f t="shared" si="0"/>
        <v>Clothing</v>
      </c>
      <c r="F25">
        <v>1200</v>
      </c>
      <c r="G25">
        <v>3</v>
      </c>
      <c r="H25" t="str">
        <f t="shared" si="1"/>
        <v>25-01-2024</v>
      </c>
      <c r="I25" s="3" t="s">
        <v>79</v>
      </c>
      <c r="J25" t="s">
        <v>27</v>
      </c>
      <c r="K25" t="str">
        <f>PROPER(J:J)</f>
        <v>Pune</v>
      </c>
      <c r="L25" t="s">
        <v>10</v>
      </c>
      <c r="M25" t="s">
        <v>23</v>
      </c>
    </row>
    <row r="26" spans="1:13" x14ac:dyDescent="0.35">
      <c r="A26">
        <v>25</v>
      </c>
      <c r="B26" t="s">
        <v>80</v>
      </c>
      <c r="C26" t="s">
        <v>6</v>
      </c>
      <c r="D26" t="s">
        <v>20</v>
      </c>
      <c r="E26" t="str">
        <f t="shared" si="0"/>
        <v>Electronics</v>
      </c>
      <c r="F26">
        <v>20000</v>
      </c>
      <c r="G26">
        <v>1</v>
      </c>
      <c r="H26" t="str">
        <f t="shared" si="1"/>
        <v>26-01-2024</v>
      </c>
      <c r="I26" s="3" t="s">
        <v>81</v>
      </c>
      <c r="J26" t="s">
        <v>60</v>
      </c>
      <c r="K26" t="str">
        <f>PROPER(J:J)</f>
        <v>Hyderabad</v>
      </c>
      <c r="L26" t="s">
        <v>22</v>
      </c>
      <c r="M26" t="s">
        <v>23</v>
      </c>
    </row>
    <row r="27" spans="1:13" x14ac:dyDescent="0.35">
      <c r="A27">
        <v>26</v>
      </c>
      <c r="B27" t="s">
        <v>82</v>
      </c>
      <c r="C27" t="s">
        <v>19</v>
      </c>
      <c r="D27" t="s">
        <v>20</v>
      </c>
      <c r="E27" t="str">
        <f t="shared" si="0"/>
        <v>Electronics</v>
      </c>
      <c r="F27">
        <v>18000</v>
      </c>
      <c r="G27">
        <v>2</v>
      </c>
      <c r="H27" t="str">
        <f t="shared" si="1"/>
        <v>27-01-2024</v>
      </c>
      <c r="I27" s="3" t="s">
        <v>83</v>
      </c>
      <c r="J27" t="s">
        <v>36</v>
      </c>
      <c r="K27" t="str">
        <f>PROPER(J:J)</f>
        <v>Chennai</v>
      </c>
      <c r="L27" t="s">
        <v>22</v>
      </c>
      <c r="M27" t="s">
        <v>17</v>
      </c>
    </row>
    <row r="28" spans="1:13" x14ac:dyDescent="0.35">
      <c r="A28">
        <v>27</v>
      </c>
      <c r="B28" t="s">
        <v>84</v>
      </c>
      <c r="C28" t="s">
        <v>19</v>
      </c>
      <c r="D28" t="s">
        <v>20</v>
      </c>
      <c r="E28" t="str">
        <f t="shared" si="0"/>
        <v>Electronics</v>
      </c>
      <c r="F28">
        <v>18000</v>
      </c>
      <c r="G28">
        <v>3</v>
      </c>
      <c r="H28" t="str">
        <f t="shared" si="1"/>
        <v>28-01-2024</v>
      </c>
      <c r="I28" s="3" t="s">
        <v>85</v>
      </c>
      <c r="J28" t="s">
        <v>16</v>
      </c>
      <c r="K28" t="str">
        <f>PROPER(J:J)</f>
        <v>Bangalore</v>
      </c>
      <c r="L28" t="s">
        <v>22</v>
      </c>
      <c r="M28" t="s">
        <v>17</v>
      </c>
    </row>
    <row r="29" spans="1:13" x14ac:dyDescent="0.35">
      <c r="A29">
        <v>28</v>
      </c>
      <c r="B29" t="s">
        <v>86</v>
      </c>
      <c r="C29" t="s">
        <v>42</v>
      </c>
      <c r="D29" t="s">
        <v>43</v>
      </c>
      <c r="E29" t="str">
        <f t="shared" si="0"/>
        <v>Accessories</v>
      </c>
      <c r="F29">
        <v>2500</v>
      </c>
      <c r="G29">
        <v>3</v>
      </c>
      <c r="H29" t="str">
        <f t="shared" si="1"/>
        <v>29-01-2024</v>
      </c>
      <c r="I29" s="3" t="s">
        <v>87</v>
      </c>
      <c r="J29" t="s">
        <v>60</v>
      </c>
      <c r="K29" t="str">
        <f>PROPER(J:J)</f>
        <v>Hyderabad</v>
      </c>
      <c r="L29" t="s">
        <v>10</v>
      </c>
      <c r="M29" t="s">
        <v>17</v>
      </c>
    </row>
    <row r="30" spans="1:13" x14ac:dyDescent="0.35">
      <c r="A30">
        <v>29</v>
      </c>
      <c r="B30" t="s">
        <v>88</v>
      </c>
      <c r="C30" t="s">
        <v>29</v>
      </c>
      <c r="D30" t="s">
        <v>30</v>
      </c>
      <c r="E30" t="str">
        <f t="shared" si="0"/>
        <v>Clothing</v>
      </c>
      <c r="F30">
        <v>1200</v>
      </c>
      <c r="G30">
        <v>1</v>
      </c>
      <c r="H30" t="str">
        <f t="shared" si="1"/>
        <v>30-01-2024</v>
      </c>
      <c r="I30" s="3" t="s">
        <v>89</v>
      </c>
      <c r="J30" t="s">
        <v>27</v>
      </c>
      <c r="K30" t="str">
        <f>PROPER(J:J)</f>
        <v>Pune</v>
      </c>
      <c r="L30" t="s">
        <v>10</v>
      </c>
      <c r="M30" t="s">
        <v>23</v>
      </c>
    </row>
    <row r="31" spans="1:13" x14ac:dyDescent="0.35">
      <c r="A31">
        <v>30</v>
      </c>
      <c r="B31" t="s">
        <v>90</v>
      </c>
      <c r="C31" t="s">
        <v>29</v>
      </c>
      <c r="D31" t="s">
        <v>30</v>
      </c>
      <c r="E31" t="str">
        <f t="shared" si="0"/>
        <v>Clothing</v>
      </c>
      <c r="F31">
        <v>1200</v>
      </c>
      <c r="G31">
        <v>2</v>
      </c>
      <c r="H31" t="str">
        <f t="shared" si="1"/>
        <v>31-01-2024</v>
      </c>
      <c r="I31" s="3" t="s">
        <v>91</v>
      </c>
      <c r="J31" t="s">
        <v>60</v>
      </c>
      <c r="K31" t="str">
        <f>PROPER(J:J)</f>
        <v>Hyderabad</v>
      </c>
      <c r="L31" t="s">
        <v>49</v>
      </c>
      <c r="M31" t="s">
        <v>11</v>
      </c>
    </row>
    <row r="32" spans="1:13" x14ac:dyDescent="0.35">
      <c r="A32">
        <v>31</v>
      </c>
      <c r="B32" t="s">
        <v>92</v>
      </c>
      <c r="C32" t="s">
        <v>13</v>
      </c>
      <c r="D32" t="s">
        <v>14</v>
      </c>
      <c r="E32" t="str">
        <f t="shared" si="0"/>
        <v>Footwear</v>
      </c>
      <c r="F32">
        <v>3000</v>
      </c>
      <c r="G32">
        <v>3</v>
      </c>
      <c r="H32" t="str">
        <f t="shared" si="1"/>
        <v>01-02-2024</v>
      </c>
      <c r="I32" s="3" t="s">
        <v>93</v>
      </c>
      <c r="J32" t="s">
        <v>236</v>
      </c>
      <c r="K32" t="s">
        <v>236</v>
      </c>
      <c r="L32" t="s">
        <v>49</v>
      </c>
      <c r="M32" t="s">
        <v>11</v>
      </c>
    </row>
    <row r="33" spans="1:13" x14ac:dyDescent="0.35">
      <c r="A33">
        <v>32</v>
      </c>
      <c r="B33" t="s">
        <v>94</v>
      </c>
      <c r="C33" t="s">
        <v>56</v>
      </c>
      <c r="D33" t="s">
        <v>20</v>
      </c>
      <c r="E33" t="str">
        <f t="shared" si="0"/>
        <v>Electronics</v>
      </c>
      <c r="F33">
        <v>55000</v>
      </c>
      <c r="G33">
        <v>2</v>
      </c>
      <c r="H33" t="str">
        <f t="shared" si="1"/>
        <v>02-02-2024</v>
      </c>
      <c r="I33" s="3" t="s">
        <v>95</v>
      </c>
      <c r="J33" t="s">
        <v>9</v>
      </c>
      <c r="K33" t="str">
        <f>PROPER(J:J)</f>
        <v>Delhi</v>
      </c>
      <c r="L33" t="s">
        <v>49</v>
      </c>
      <c r="M33" t="s">
        <v>17</v>
      </c>
    </row>
    <row r="34" spans="1:13" x14ac:dyDescent="0.35">
      <c r="A34">
        <v>33</v>
      </c>
      <c r="B34" t="s">
        <v>96</v>
      </c>
      <c r="C34" t="s">
        <v>13</v>
      </c>
      <c r="D34" t="s">
        <v>25</v>
      </c>
      <c r="E34" t="str">
        <f t="shared" si="0"/>
        <v>Footwear</v>
      </c>
      <c r="F34">
        <v>3000</v>
      </c>
      <c r="G34">
        <v>3</v>
      </c>
      <c r="H34" t="str">
        <f t="shared" si="1"/>
        <v>03-02-2024</v>
      </c>
      <c r="I34" s="3" t="s">
        <v>97</v>
      </c>
      <c r="J34" t="s">
        <v>73</v>
      </c>
      <c r="K34" t="str">
        <f>PROPER(J:J)</f>
        <v>Mumbai</v>
      </c>
      <c r="L34" t="s">
        <v>10</v>
      </c>
      <c r="M34" t="s">
        <v>11</v>
      </c>
    </row>
    <row r="35" spans="1:13" x14ac:dyDescent="0.35">
      <c r="A35">
        <v>34</v>
      </c>
      <c r="B35" t="s">
        <v>98</v>
      </c>
      <c r="C35" t="s">
        <v>29</v>
      </c>
      <c r="D35" t="s">
        <v>30</v>
      </c>
      <c r="E35" t="str">
        <f t="shared" si="0"/>
        <v>Clothing</v>
      </c>
      <c r="F35">
        <v>1200</v>
      </c>
      <c r="G35">
        <v>3</v>
      </c>
      <c r="H35" t="str">
        <f t="shared" si="1"/>
        <v>04-02-2024</v>
      </c>
      <c r="I35" s="3" t="s">
        <v>99</v>
      </c>
      <c r="J35" t="s">
        <v>60</v>
      </c>
      <c r="K35" t="str">
        <f>PROPER(J:J)</f>
        <v>Hyderabad</v>
      </c>
      <c r="L35" t="s">
        <v>22</v>
      </c>
      <c r="M35" t="s">
        <v>11</v>
      </c>
    </row>
    <row r="36" spans="1:13" x14ac:dyDescent="0.35">
      <c r="A36">
        <v>35</v>
      </c>
      <c r="B36" t="s">
        <v>100</v>
      </c>
      <c r="C36" t="s">
        <v>19</v>
      </c>
      <c r="D36" t="s">
        <v>20</v>
      </c>
      <c r="E36" t="str">
        <f t="shared" si="0"/>
        <v>Electronics</v>
      </c>
      <c r="F36">
        <v>18000</v>
      </c>
      <c r="G36">
        <v>1</v>
      </c>
      <c r="H36" t="str">
        <f t="shared" si="1"/>
        <v>05-02-2024</v>
      </c>
      <c r="I36" s="3" t="s">
        <v>101</v>
      </c>
      <c r="J36" t="s">
        <v>236</v>
      </c>
      <c r="K36" t="s">
        <v>236</v>
      </c>
      <c r="L36" t="s">
        <v>32</v>
      </c>
      <c r="M36" t="s">
        <v>23</v>
      </c>
    </row>
    <row r="37" spans="1:13" x14ac:dyDescent="0.35">
      <c r="A37">
        <v>36</v>
      </c>
      <c r="B37" t="s">
        <v>102</v>
      </c>
      <c r="C37" t="s">
        <v>29</v>
      </c>
      <c r="D37" t="s">
        <v>30</v>
      </c>
      <c r="E37" t="str">
        <f t="shared" si="0"/>
        <v>Clothing</v>
      </c>
      <c r="F37">
        <v>1200</v>
      </c>
      <c r="G37">
        <v>3</v>
      </c>
      <c r="H37" t="str">
        <f t="shared" si="1"/>
        <v>06-02-2024</v>
      </c>
      <c r="I37" s="3" t="s">
        <v>103</v>
      </c>
      <c r="J37" t="s">
        <v>9</v>
      </c>
      <c r="K37" t="str">
        <f>PROPER(J:J)</f>
        <v>Delhi</v>
      </c>
      <c r="L37" t="s">
        <v>32</v>
      </c>
      <c r="M37" t="s">
        <v>23</v>
      </c>
    </row>
    <row r="38" spans="1:13" x14ac:dyDescent="0.35">
      <c r="A38">
        <v>37</v>
      </c>
      <c r="B38" t="s">
        <v>104</v>
      </c>
      <c r="C38" t="s">
        <v>6</v>
      </c>
      <c r="D38" t="s">
        <v>20</v>
      </c>
      <c r="E38" t="str">
        <f t="shared" si="0"/>
        <v>Electronics</v>
      </c>
      <c r="F38">
        <v>20000</v>
      </c>
      <c r="G38">
        <v>1</v>
      </c>
      <c r="H38" t="str">
        <f t="shared" si="1"/>
        <v>07-02-2024</v>
      </c>
      <c r="I38" s="3" t="s">
        <v>105</v>
      </c>
      <c r="J38" t="s">
        <v>16</v>
      </c>
      <c r="K38" t="str">
        <f>PROPER(J:J)</f>
        <v>Bangalore</v>
      </c>
      <c r="L38" t="s">
        <v>32</v>
      </c>
      <c r="M38" t="s">
        <v>11</v>
      </c>
    </row>
    <row r="39" spans="1:13" x14ac:dyDescent="0.35">
      <c r="A39">
        <v>38</v>
      </c>
      <c r="B39" t="s">
        <v>106</v>
      </c>
      <c r="C39" t="s">
        <v>6</v>
      </c>
      <c r="D39" t="s">
        <v>20</v>
      </c>
      <c r="E39" t="str">
        <f t="shared" si="0"/>
        <v>Electronics</v>
      </c>
      <c r="F39">
        <v>20000</v>
      </c>
      <c r="G39">
        <v>2</v>
      </c>
      <c r="H39" t="str">
        <f t="shared" si="1"/>
        <v>08-02-2024</v>
      </c>
      <c r="I39" s="3" t="s">
        <v>107</v>
      </c>
      <c r="J39" t="s">
        <v>16</v>
      </c>
      <c r="K39" t="str">
        <f>PROPER(J:J)</f>
        <v>Bangalore</v>
      </c>
      <c r="L39" t="s">
        <v>10</v>
      </c>
      <c r="M39" t="s">
        <v>17</v>
      </c>
    </row>
    <row r="40" spans="1:13" x14ac:dyDescent="0.35">
      <c r="A40">
        <v>39</v>
      </c>
      <c r="B40" t="s">
        <v>108</v>
      </c>
      <c r="C40" t="s">
        <v>13</v>
      </c>
      <c r="D40" t="s">
        <v>25</v>
      </c>
      <c r="E40" t="str">
        <f t="shared" si="0"/>
        <v>Footwear</v>
      </c>
      <c r="F40">
        <v>3000</v>
      </c>
      <c r="G40">
        <v>3</v>
      </c>
      <c r="H40" t="str">
        <f t="shared" si="1"/>
        <v>09-02-2024</v>
      </c>
      <c r="I40" s="3" t="s">
        <v>109</v>
      </c>
      <c r="J40" t="s">
        <v>36</v>
      </c>
      <c r="K40" t="str">
        <f>PROPER(J:J)</f>
        <v>Chennai</v>
      </c>
      <c r="L40" t="s">
        <v>10</v>
      </c>
      <c r="M40" t="s">
        <v>17</v>
      </c>
    </row>
    <row r="41" spans="1:13" x14ac:dyDescent="0.35">
      <c r="A41">
        <v>40</v>
      </c>
      <c r="B41" t="s">
        <v>110</v>
      </c>
      <c r="C41" t="s">
        <v>34</v>
      </c>
      <c r="D41" t="s">
        <v>20</v>
      </c>
      <c r="E41" t="str">
        <f t="shared" si="0"/>
        <v>Electronics</v>
      </c>
      <c r="F41">
        <v>1500</v>
      </c>
      <c r="G41">
        <v>1</v>
      </c>
      <c r="H41" t="str">
        <f t="shared" si="1"/>
        <v>10-02-2024</v>
      </c>
      <c r="I41" s="3" t="s">
        <v>111</v>
      </c>
      <c r="J41" t="s">
        <v>73</v>
      </c>
      <c r="K41" t="str">
        <f>PROPER(J:J)</f>
        <v>Mumbai</v>
      </c>
      <c r="L41" t="s">
        <v>32</v>
      </c>
      <c r="M41" t="s">
        <v>23</v>
      </c>
    </row>
    <row r="42" spans="1:13" x14ac:dyDescent="0.35">
      <c r="A42">
        <v>41</v>
      </c>
      <c r="B42" t="s">
        <v>112</v>
      </c>
      <c r="C42" t="s">
        <v>13</v>
      </c>
      <c r="D42" t="s">
        <v>25</v>
      </c>
      <c r="E42" t="str">
        <f t="shared" si="0"/>
        <v>Footwear</v>
      </c>
      <c r="F42">
        <v>3000</v>
      </c>
      <c r="G42">
        <v>1</v>
      </c>
      <c r="H42" t="str">
        <f t="shared" si="1"/>
        <v>11-02-2024</v>
      </c>
      <c r="I42" s="3" t="s">
        <v>113</v>
      </c>
      <c r="J42" t="s">
        <v>27</v>
      </c>
      <c r="K42" t="str">
        <f>PROPER(J:J)</f>
        <v>Pune</v>
      </c>
      <c r="L42" t="s">
        <v>22</v>
      </c>
      <c r="M42" t="s">
        <v>11</v>
      </c>
    </row>
    <row r="43" spans="1:13" x14ac:dyDescent="0.35">
      <c r="A43">
        <v>42</v>
      </c>
      <c r="B43" t="s">
        <v>114</v>
      </c>
      <c r="C43" t="s">
        <v>34</v>
      </c>
      <c r="D43" t="s">
        <v>20</v>
      </c>
      <c r="E43" t="str">
        <f t="shared" si="0"/>
        <v>Electronics</v>
      </c>
      <c r="F43">
        <v>1500</v>
      </c>
      <c r="G43">
        <v>1</v>
      </c>
      <c r="H43" t="str">
        <f t="shared" si="1"/>
        <v>12-02-2024</v>
      </c>
      <c r="I43" s="3" t="s">
        <v>115</v>
      </c>
      <c r="J43" t="s">
        <v>73</v>
      </c>
      <c r="K43" t="str">
        <f>PROPER(J:J)</f>
        <v>Mumbai</v>
      </c>
      <c r="L43" t="s">
        <v>32</v>
      </c>
      <c r="M43" t="s">
        <v>23</v>
      </c>
    </row>
    <row r="44" spans="1:13" x14ac:dyDescent="0.35">
      <c r="A44">
        <v>43</v>
      </c>
      <c r="B44" t="s">
        <v>116</v>
      </c>
      <c r="C44" t="s">
        <v>56</v>
      </c>
      <c r="D44" t="s">
        <v>20</v>
      </c>
      <c r="E44" t="str">
        <f t="shared" si="0"/>
        <v>Electronics</v>
      </c>
      <c r="F44">
        <v>55000</v>
      </c>
      <c r="G44">
        <v>2</v>
      </c>
      <c r="H44" t="str">
        <f t="shared" si="1"/>
        <v>13-02-2024</v>
      </c>
      <c r="I44" s="3" t="s">
        <v>117</v>
      </c>
      <c r="J44" t="s">
        <v>9</v>
      </c>
      <c r="K44" t="str">
        <f>PROPER(J:J)</f>
        <v>Delhi</v>
      </c>
      <c r="L44" t="s">
        <v>49</v>
      </c>
      <c r="M44" t="s">
        <v>23</v>
      </c>
    </row>
    <row r="45" spans="1:13" x14ac:dyDescent="0.35">
      <c r="A45">
        <v>44</v>
      </c>
      <c r="B45" t="s">
        <v>118</v>
      </c>
      <c r="C45" t="s">
        <v>42</v>
      </c>
      <c r="D45" t="s">
        <v>43</v>
      </c>
      <c r="E45" t="str">
        <f t="shared" si="0"/>
        <v>Accessories</v>
      </c>
      <c r="F45">
        <v>2500</v>
      </c>
      <c r="G45">
        <v>3</v>
      </c>
      <c r="H45" t="str">
        <f t="shared" si="1"/>
        <v>14-02-2024</v>
      </c>
      <c r="I45" s="3" t="s">
        <v>119</v>
      </c>
      <c r="J45" t="s">
        <v>16</v>
      </c>
      <c r="K45" t="str">
        <f>PROPER(J:J)</f>
        <v>Bangalore</v>
      </c>
      <c r="L45" t="s">
        <v>10</v>
      </c>
      <c r="M45" t="s">
        <v>17</v>
      </c>
    </row>
    <row r="46" spans="1:13" x14ac:dyDescent="0.35">
      <c r="A46">
        <v>45</v>
      </c>
      <c r="B46" t="s">
        <v>120</v>
      </c>
      <c r="C46" t="s">
        <v>13</v>
      </c>
      <c r="D46" t="s">
        <v>25</v>
      </c>
      <c r="E46" t="str">
        <f t="shared" si="0"/>
        <v>Footwear</v>
      </c>
      <c r="F46">
        <v>3000</v>
      </c>
      <c r="G46">
        <v>2</v>
      </c>
      <c r="H46" t="str">
        <f t="shared" si="1"/>
        <v>15-02-2024</v>
      </c>
      <c r="I46" s="3" t="s">
        <v>121</v>
      </c>
      <c r="J46" t="s">
        <v>60</v>
      </c>
      <c r="K46" t="str">
        <f>PROPER(J:J)</f>
        <v>Hyderabad</v>
      </c>
      <c r="L46" t="s">
        <v>22</v>
      </c>
      <c r="M46" t="s">
        <v>23</v>
      </c>
    </row>
    <row r="47" spans="1:13" x14ac:dyDescent="0.35">
      <c r="A47">
        <v>46</v>
      </c>
      <c r="B47" t="s">
        <v>122</v>
      </c>
      <c r="C47" t="s">
        <v>19</v>
      </c>
      <c r="D47" t="s">
        <v>7</v>
      </c>
      <c r="E47" t="str">
        <f t="shared" si="0"/>
        <v>Electronics</v>
      </c>
      <c r="F47">
        <v>18000</v>
      </c>
      <c r="G47">
        <v>3</v>
      </c>
      <c r="H47" t="str">
        <f t="shared" si="1"/>
        <v>16-02-2024</v>
      </c>
      <c r="I47" s="3" t="s">
        <v>123</v>
      </c>
      <c r="J47" t="s">
        <v>9</v>
      </c>
      <c r="K47" t="str">
        <f>PROPER(J:J)</f>
        <v>Delhi</v>
      </c>
      <c r="L47" t="s">
        <v>22</v>
      </c>
      <c r="M47" t="s">
        <v>17</v>
      </c>
    </row>
    <row r="48" spans="1:13" x14ac:dyDescent="0.35">
      <c r="A48">
        <v>47</v>
      </c>
      <c r="B48" t="s">
        <v>124</v>
      </c>
      <c r="C48" t="s">
        <v>29</v>
      </c>
      <c r="D48" t="s">
        <v>30</v>
      </c>
      <c r="E48" t="str">
        <f t="shared" si="0"/>
        <v>Clothing</v>
      </c>
      <c r="F48">
        <v>1200</v>
      </c>
      <c r="G48">
        <v>2</v>
      </c>
      <c r="H48" t="str">
        <f t="shared" si="1"/>
        <v>17-02-2024</v>
      </c>
      <c r="I48" s="3" t="s">
        <v>125</v>
      </c>
      <c r="J48" t="s">
        <v>16</v>
      </c>
      <c r="K48" t="str">
        <f>PROPER(J:J)</f>
        <v>Bangalore</v>
      </c>
      <c r="L48" t="s">
        <v>10</v>
      </c>
      <c r="M48" t="s">
        <v>23</v>
      </c>
    </row>
    <row r="49" spans="1:13" x14ac:dyDescent="0.35">
      <c r="A49">
        <v>48</v>
      </c>
      <c r="B49" t="s">
        <v>126</v>
      </c>
      <c r="C49" t="s">
        <v>56</v>
      </c>
      <c r="D49" t="s">
        <v>7</v>
      </c>
      <c r="E49" t="str">
        <f t="shared" si="0"/>
        <v>Electronics</v>
      </c>
      <c r="F49">
        <v>55000</v>
      </c>
      <c r="G49">
        <v>3</v>
      </c>
      <c r="H49" t="str">
        <f t="shared" si="1"/>
        <v>18-02-2024</v>
      </c>
      <c r="I49" s="3" t="s">
        <v>127</v>
      </c>
      <c r="J49" t="s">
        <v>27</v>
      </c>
      <c r="K49" t="str">
        <f>PROPER(J:J)</f>
        <v>Pune</v>
      </c>
      <c r="L49" t="s">
        <v>49</v>
      </c>
      <c r="M49" t="s">
        <v>23</v>
      </c>
    </row>
    <row r="50" spans="1:13" x14ac:dyDescent="0.35">
      <c r="A50">
        <v>49</v>
      </c>
      <c r="B50" t="s">
        <v>128</v>
      </c>
      <c r="C50" t="s">
        <v>42</v>
      </c>
      <c r="D50" t="s">
        <v>43</v>
      </c>
      <c r="E50" t="str">
        <f t="shared" si="0"/>
        <v>Accessories</v>
      </c>
      <c r="G50">
        <v>3</v>
      </c>
      <c r="H50" t="str">
        <f t="shared" si="1"/>
        <v>19-02-2024</v>
      </c>
      <c r="I50" s="3" t="s">
        <v>129</v>
      </c>
      <c r="J50" t="s">
        <v>9</v>
      </c>
      <c r="K50" t="str">
        <f>PROPER(J:J)</f>
        <v>Delhi</v>
      </c>
      <c r="L50" t="s">
        <v>22</v>
      </c>
      <c r="M50" t="s">
        <v>17</v>
      </c>
    </row>
    <row r="51" spans="1:13" x14ac:dyDescent="0.35">
      <c r="A51">
        <v>50</v>
      </c>
      <c r="B51" t="s">
        <v>130</v>
      </c>
      <c r="C51" t="s">
        <v>19</v>
      </c>
      <c r="D51" t="s">
        <v>20</v>
      </c>
      <c r="E51" t="str">
        <f t="shared" si="0"/>
        <v>Electronics</v>
      </c>
      <c r="F51">
        <v>18000</v>
      </c>
      <c r="G51">
        <v>2</v>
      </c>
      <c r="H51" t="str">
        <f t="shared" si="1"/>
        <v>20-02-2024</v>
      </c>
      <c r="I51" s="3" t="s">
        <v>131</v>
      </c>
      <c r="J51" t="s">
        <v>16</v>
      </c>
      <c r="K51" t="str">
        <f>PROPER(J:J)</f>
        <v>Bangalore</v>
      </c>
      <c r="L51" t="s">
        <v>22</v>
      </c>
      <c r="M51" t="s">
        <v>11</v>
      </c>
    </row>
    <row r="52" spans="1:13" x14ac:dyDescent="0.35">
      <c r="A52">
        <v>51</v>
      </c>
      <c r="B52" t="s">
        <v>132</v>
      </c>
      <c r="C52" t="s">
        <v>56</v>
      </c>
      <c r="D52" t="s">
        <v>20</v>
      </c>
      <c r="E52" t="str">
        <f t="shared" si="0"/>
        <v>Electronics</v>
      </c>
      <c r="F52">
        <v>55000</v>
      </c>
      <c r="G52">
        <v>1</v>
      </c>
      <c r="H52" t="str">
        <f t="shared" si="1"/>
        <v>21-02-2024</v>
      </c>
      <c r="I52" s="3" t="s">
        <v>133</v>
      </c>
      <c r="J52" t="s">
        <v>36</v>
      </c>
      <c r="K52" t="str">
        <f>PROPER(J:J)</f>
        <v>Chennai</v>
      </c>
      <c r="L52" t="s">
        <v>22</v>
      </c>
      <c r="M52" t="s">
        <v>11</v>
      </c>
    </row>
    <row r="53" spans="1:13" x14ac:dyDescent="0.35">
      <c r="A53">
        <v>52</v>
      </c>
      <c r="B53" t="s">
        <v>134</v>
      </c>
      <c r="C53" t="s">
        <v>56</v>
      </c>
      <c r="D53" t="s">
        <v>20</v>
      </c>
      <c r="E53" t="str">
        <f t="shared" si="0"/>
        <v>Electronics</v>
      </c>
      <c r="F53">
        <v>55000</v>
      </c>
      <c r="G53">
        <v>1</v>
      </c>
      <c r="H53" t="str">
        <f t="shared" si="1"/>
        <v>22-02-2024</v>
      </c>
      <c r="I53" s="3" t="s">
        <v>135</v>
      </c>
      <c r="J53" t="s">
        <v>16</v>
      </c>
      <c r="K53" t="str">
        <f>PROPER(J:J)</f>
        <v>Bangalore</v>
      </c>
      <c r="L53" t="s">
        <v>10</v>
      </c>
      <c r="M53" t="s">
        <v>17</v>
      </c>
    </row>
    <row r="54" spans="1:13" x14ac:dyDescent="0.35">
      <c r="A54">
        <v>53</v>
      </c>
      <c r="B54" t="s">
        <v>136</v>
      </c>
      <c r="C54" t="s">
        <v>56</v>
      </c>
      <c r="D54" t="s">
        <v>20</v>
      </c>
      <c r="E54" t="str">
        <f t="shared" si="0"/>
        <v>Electronics</v>
      </c>
      <c r="F54">
        <v>55000</v>
      </c>
      <c r="G54">
        <v>3</v>
      </c>
      <c r="H54" t="str">
        <f t="shared" si="1"/>
        <v>23-02-2024</v>
      </c>
      <c r="I54" s="3" t="s">
        <v>137</v>
      </c>
      <c r="J54" t="s">
        <v>73</v>
      </c>
      <c r="K54" t="str">
        <f>PROPER(J:J)</f>
        <v>Mumbai</v>
      </c>
      <c r="L54" t="s">
        <v>22</v>
      </c>
      <c r="M54" t="s">
        <v>11</v>
      </c>
    </row>
    <row r="55" spans="1:13" x14ac:dyDescent="0.35">
      <c r="A55">
        <v>54</v>
      </c>
      <c r="B55" t="s">
        <v>138</v>
      </c>
      <c r="C55" t="s">
        <v>29</v>
      </c>
      <c r="D55" t="s">
        <v>139</v>
      </c>
      <c r="E55" t="str">
        <f t="shared" si="0"/>
        <v>Clothing</v>
      </c>
      <c r="F55">
        <v>1200</v>
      </c>
      <c r="G55">
        <v>3</v>
      </c>
      <c r="H55" t="str">
        <f t="shared" si="1"/>
        <v>24-02-2024</v>
      </c>
      <c r="I55" s="3" t="s">
        <v>140</v>
      </c>
      <c r="J55" t="s">
        <v>36</v>
      </c>
      <c r="K55" t="str">
        <f>PROPER(J:J)</f>
        <v>Chennai</v>
      </c>
      <c r="L55" t="s">
        <v>22</v>
      </c>
      <c r="M55" t="s">
        <v>23</v>
      </c>
    </row>
    <row r="56" spans="1:13" x14ac:dyDescent="0.35">
      <c r="A56">
        <v>55</v>
      </c>
      <c r="B56" t="s">
        <v>141</v>
      </c>
      <c r="C56" t="s">
        <v>6</v>
      </c>
      <c r="D56" t="s">
        <v>7</v>
      </c>
      <c r="E56" t="str">
        <f t="shared" si="0"/>
        <v>Electronics</v>
      </c>
      <c r="F56">
        <v>20000</v>
      </c>
      <c r="G56">
        <v>2</v>
      </c>
      <c r="H56" t="str">
        <f t="shared" si="1"/>
        <v>25-02-2024</v>
      </c>
      <c r="I56" s="3" t="s">
        <v>142</v>
      </c>
      <c r="J56" t="s">
        <v>16</v>
      </c>
      <c r="K56" t="str">
        <f>PROPER(J:J)</f>
        <v>Bangalore</v>
      </c>
      <c r="L56" t="s">
        <v>22</v>
      </c>
      <c r="M56" t="s">
        <v>11</v>
      </c>
    </row>
    <row r="57" spans="1:13" x14ac:dyDescent="0.35">
      <c r="A57">
        <v>56</v>
      </c>
      <c r="B57" t="s">
        <v>143</v>
      </c>
      <c r="C57" t="s">
        <v>6</v>
      </c>
      <c r="D57" t="s">
        <v>20</v>
      </c>
      <c r="E57" t="str">
        <f t="shared" si="0"/>
        <v>Electronics</v>
      </c>
      <c r="F57">
        <v>20000</v>
      </c>
      <c r="G57">
        <v>2</v>
      </c>
      <c r="H57" t="str">
        <f t="shared" si="1"/>
        <v>26-02-2024</v>
      </c>
      <c r="I57" s="3" t="s">
        <v>144</v>
      </c>
      <c r="J57" t="s">
        <v>73</v>
      </c>
      <c r="K57" t="str">
        <f>PROPER(J:J)</f>
        <v>Mumbai</v>
      </c>
      <c r="L57" t="s">
        <v>32</v>
      </c>
      <c r="M57" t="s">
        <v>17</v>
      </c>
    </row>
    <row r="58" spans="1:13" x14ac:dyDescent="0.35">
      <c r="A58">
        <v>57</v>
      </c>
      <c r="B58" t="s">
        <v>145</v>
      </c>
      <c r="C58" t="s">
        <v>13</v>
      </c>
      <c r="D58" t="s">
        <v>25</v>
      </c>
      <c r="E58" t="str">
        <f t="shared" si="0"/>
        <v>Footwear</v>
      </c>
      <c r="F58">
        <v>3000</v>
      </c>
      <c r="G58">
        <v>1</v>
      </c>
      <c r="H58" t="str">
        <f t="shared" si="1"/>
        <v>27-02-2024</v>
      </c>
      <c r="I58" s="3" t="s">
        <v>146</v>
      </c>
      <c r="J58" t="s">
        <v>27</v>
      </c>
      <c r="K58" t="str">
        <f>PROPER(J:J)</f>
        <v>Pune</v>
      </c>
      <c r="L58" t="s">
        <v>22</v>
      </c>
      <c r="M58" t="s">
        <v>17</v>
      </c>
    </row>
    <row r="59" spans="1:13" x14ac:dyDescent="0.35">
      <c r="A59">
        <v>58</v>
      </c>
      <c r="B59" t="s">
        <v>147</v>
      </c>
      <c r="C59" t="s">
        <v>13</v>
      </c>
      <c r="D59" t="s">
        <v>14</v>
      </c>
      <c r="E59" t="str">
        <f t="shared" si="0"/>
        <v>Footwear</v>
      </c>
      <c r="F59">
        <v>3000</v>
      </c>
      <c r="G59">
        <v>3</v>
      </c>
      <c r="H59" t="str">
        <f t="shared" si="1"/>
        <v>28-02-2024</v>
      </c>
      <c r="I59" s="3" t="s">
        <v>148</v>
      </c>
      <c r="J59" t="s">
        <v>16</v>
      </c>
      <c r="K59" t="str">
        <f>PROPER(J:J)</f>
        <v>Bangalore</v>
      </c>
      <c r="L59" t="s">
        <v>10</v>
      </c>
      <c r="M59" t="s">
        <v>23</v>
      </c>
    </row>
    <row r="60" spans="1:13" x14ac:dyDescent="0.35">
      <c r="A60">
        <v>59</v>
      </c>
      <c r="B60" t="s">
        <v>149</v>
      </c>
      <c r="C60" t="s">
        <v>56</v>
      </c>
      <c r="D60" t="s">
        <v>20</v>
      </c>
      <c r="E60" t="str">
        <f t="shared" si="0"/>
        <v>Electronics</v>
      </c>
      <c r="F60">
        <v>55000</v>
      </c>
      <c r="G60">
        <v>3</v>
      </c>
      <c r="H60" t="str">
        <f t="shared" si="1"/>
        <v>29-02-2024</v>
      </c>
      <c r="I60" s="3" t="s">
        <v>150</v>
      </c>
      <c r="J60" t="s">
        <v>60</v>
      </c>
      <c r="K60" t="str">
        <f>PROPER(J:J)</f>
        <v>Hyderabad</v>
      </c>
      <c r="L60" t="s">
        <v>10</v>
      </c>
    </row>
    <row r="61" spans="1:13" x14ac:dyDescent="0.35">
      <c r="A61">
        <v>60</v>
      </c>
      <c r="B61" t="s">
        <v>151</v>
      </c>
      <c r="C61" t="s">
        <v>13</v>
      </c>
      <c r="D61" t="s">
        <v>25</v>
      </c>
      <c r="E61" t="str">
        <f t="shared" si="0"/>
        <v>Footwear</v>
      </c>
      <c r="F61">
        <v>3000</v>
      </c>
      <c r="G61">
        <v>2</v>
      </c>
      <c r="H61" t="str">
        <f t="shared" si="1"/>
        <v>01-03-2024</v>
      </c>
      <c r="I61" s="3" t="s">
        <v>152</v>
      </c>
      <c r="J61" t="s">
        <v>9</v>
      </c>
      <c r="K61" t="str">
        <f>PROPER(J:J)</f>
        <v>Delhi</v>
      </c>
      <c r="L61" t="s">
        <v>10</v>
      </c>
      <c r="M61" t="s">
        <v>17</v>
      </c>
    </row>
    <row r="62" spans="1:13" x14ac:dyDescent="0.35">
      <c r="A62">
        <v>61</v>
      </c>
      <c r="B62" t="s">
        <v>153</v>
      </c>
      <c r="C62" t="s">
        <v>42</v>
      </c>
      <c r="D62" t="s">
        <v>51</v>
      </c>
      <c r="E62" t="str">
        <f t="shared" si="0"/>
        <v>Accessories</v>
      </c>
      <c r="F62">
        <v>2500</v>
      </c>
      <c r="G62">
        <v>3</v>
      </c>
      <c r="H62" t="str">
        <f t="shared" si="1"/>
        <v>02-03-2024</v>
      </c>
      <c r="I62" s="3" t="s">
        <v>154</v>
      </c>
      <c r="J62" t="s">
        <v>27</v>
      </c>
      <c r="K62" t="str">
        <f>PROPER(J:J)</f>
        <v>Pune</v>
      </c>
      <c r="L62" t="s">
        <v>10</v>
      </c>
      <c r="M62" t="s">
        <v>17</v>
      </c>
    </row>
    <row r="63" spans="1:13" x14ac:dyDescent="0.35">
      <c r="A63">
        <v>62</v>
      </c>
      <c r="B63" t="s">
        <v>155</v>
      </c>
      <c r="C63" t="s">
        <v>34</v>
      </c>
      <c r="D63" t="s">
        <v>20</v>
      </c>
      <c r="E63" t="str">
        <f t="shared" si="0"/>
        <v>Electronics</v>
      </c>
      <c r="F63">
        <v>1500</v>
      </c>
      <c r="G63">
        <v>1</v>
      </c>
      <c r="H63" t="str">
        <f t="shared" si="1"/>
        <v>03-03-2024</v>
      </c>
      <c r="I63" s="3" t="s">
        <v>156</v>
      </c>
      <c r="J63" t="s">
        <v>73</v>
      </c>
      <c r="K63" t="str">
        <f>PROPER(J:J)</f>
        <v>Mumbai</v>
      </c>
      <c r="L63" t="s">
        <v>49</v>
      </c>
      <c r="M63" t="s">
        <v>17</v>
      </c>
    </row>
    <row r="64" spans="1:13" x14ac:dyDescent="0.35">
      <c r="A64">
        <v>63</v>
      </c>
      <c r="B64" t="s">
        <v>157</v>
      </c>
      <c r="C64" t="s">
        <v>42</v>
      </c>
      <c r="D64" t="s">
        <v>51</v>
      </c>
      <c r="E64" t="str">
        <f t="shared" si="0"/>
        <v>Accessories</v>
      </c>
      <c r="F64">
        <v>2500</v>
      </c>
      <c r="G64">
        <v>2</v>
      </c>
      <c r="H64" t="str">
        <f t="shared" si="1"/>
        <v>04-03-2024</v>
      </c>
      <c r="I64" s="3" t="s">
        <v>158</v>
      </c>
      <c r="J64" t="s">
        <v>36</v>
      </c>
      <c r="K64" t="str">
        <f>PROPER(J:J)</f>
        <v>Chennai</v>
      </c>
      <c r="L64" t="s">
        <v>22</v>
      </c>
      <c r="M64" t="s">
        <v>23</v>
      </c>
    </row>
    <row r="65" spans="1:13" x14ac:dyDescent="0.35">
      <c r="A65">
        <v>64</v>
      </c>
      <c r="B65" t="s">
        <v>159</v>
      </c>
      <c r="C65" t="s">
        <v>13</v>
      </c>
      <c r="D65" t="s">
        <v>25</v>
      </c>
      <c r="E65" t="str">
        <f t="shared" si="0"/>
        <v>Footwear</v>
      </c>
      <c r="F65">
        <v>3000</v>
      </c>
      <c r="G65">
        <v>2</v>
      </c>
      <c r="H65" t="str">
        <f t="shared" si="1"/>
        <v>05-03-2024</v>
      </c>
      <c r="I65" s="3" t="s">
        <v>160</v>
      </c>
      <c r="J65" t="s">
        <v>36</v>
      </c>
      <c r="K65" t="str">
        <f>PROPER(J:J)</f>
        <v>Chennai</v>
      </c>
      <c r="L65" t="s">
        <v>22</v>
      </c>
      <c r="M65" t="s">
        <v>17</v>
      </c>
    </row>
    <row r="66" spans="1:13" x14ac:dyDescent="0.35">
      <c r="A66">
        <v>65</v>
      </c>
      <c r="B66" t="s">
        <v>161</v>
      </c>
      <c r="C66" t="s">
        <v>13</v>
      </c>
      <c r="D66" t="s">
        <v>25</v>
      </c>
      <c r="E66" t="str">
        <f t="shared" si="0"/>
        <v>Footwear</v>
      </c>
      <c r="F66">
        <v>3000</v>
      </c>
      <c r="G66">
        <v>2</v>
      </c>
      <c r="H66" t="str">
        <f t="shared" si="1"/>
        <v>06-03-2024</v>
      </c>
      <c r="I66" s="3" t="s">
        <v>162</v>
      </c>
      <c r="J66" t="s">
        <v>36</v>
      </c>
      <c r="K66" t="str">
        <f>PROPER(J:J)</f>
        <v>Chennai</v>
      </c>
      <c r="L66" t="s">
        <v>22</v>
      </c>
      <c r="M66" t="s">
        <v>11</v>
      </c>
    </row>
    <row r="67" spans="1:13" x14ac:dyDescent="0.35">
      <c r="A67">
        <v>66</v>
      </c>
      <c r="B67" t="s">
        <v>163</v>
      </c>
      <c r="C67" t="s">
        <v>42</v>
      </c>
      <c r="D67" t="s">
        <v>51</v>
      </c>
      <c r="E67" t="str">
        <f t="shared" ref="E67:E101" si="2">PROPER(D:D)</f>
        <v>Accessories</v>
      </c>
      <c r="F67">
        <v>2500</v>
      </c>
      <c r="G67">
        <v>1</v>
      </c>
      <c r="H67" t="str">
        <f t="shared" ref="H67:H101" si="3">TEXT(I:I,"dd-mm-yyyy")</f>
        <v>07-03-2024</v>
      </c>
      <c r="I67" s="3" t="s">
        <v>164</v>
      </c>
      <c r="J67" t="s">
        <v>236</v>
      </c>
      <c r="K67" t="s">
        <v>236</v>
      </c>
      <c r="L67" t="s">
        <v>32</v>
      </c>
      <c r="M67" t="s">
        <v>17</v>
      </c>
    </row>
    <row r="68" spans="1:13" x14ac:dyDescent="0.35">
      <c r="A68">
        <v>67</v>
      </c>
      <c r="B68" t="s">
        <v>165</v>
      </c>
      <c r="C68" t="s">
        <v>56</v>
      </c>
      <c r="D68" t="s">
        <v>20</v>
      </c>
      <c r="E68" t="str">
        <f t="shared" si="2"/>
        <v>Electronics</v>
      </c>
      <c r="F68">
        <v>55000</v>
      </c>
      <c r="G68">
        <v>3</v>
      </c>
      <c r="H68" t="str">
        <f t="shared" si="3"/>
        <v>08-03-2024</v>
      </c>
      <c r="I68" s="3" t="s">
        <v>166</v>
      </c>
      <c r="J68" t="s">
        <v>16</v>
      </c>
      <c r="K68" t="str">
        <f>PROPER(J:J)</f>
        <v>Bangalore</v>
      </c>
      <c r="L68" t="s">
        <v>32</v>
      </c>
      <c r="M68" t="s">
        <v>17</v>
      </c>
    </row>
    <row r="69" spans="1:13" x14ac:dyDescent="0.35">
      <c r="A69">
        <v>68</v>
      </c>
      <c r="B69" t="s">
        <v>167</v>
      </c>
      <c r="C69" t="s">
        <v>6</v>
      </c>
      <c r="D69" t="s">
        <v>20</v>
      </c>
      <c r="E69" t="str">
        <f t="shared" si="2"/>
        <v>Electronics</v>
      </c>
      <c r="F69">
        <v>20000</v>
      </c>
      <c r="G69">
        <v>3</v>
      </c>
      <c r="H69" t="str">
        <f t="shared" si="3"/>
        <v>09-03-2024</v>
      </c>
      <c r="I69" s="3" t="s">
        <v>168</v>
      </c>
      <c r="J69" t="s">
        <v>16</v>
      </c>
      <c r="K69" t="str">
        <f>PROPER(J:J)</f>
        <v>Bangalore</v>
      </c>
      <c r="L69" t="s">
        <v>22</v>
      </c>
      <c r="M69" t="s">
        <v>23</v>
      </c>
    </row>
    <row r="70" spans="1:13" x14ac:dyDescent="0.35">
      <c r="A70">
        <v>69</v>
      </c>
      <c r="B70" t="s">
        <v>169</v>
      </c>
      <c r="C70" t="s">
        <v>19</v>
      </c>
      <c r="D70" t="s">
        <v>20</v>
      </c>
      <c r="E70" t="str">
        <f t="shared" si="2"/>
        <v>Electronics</v>
      </c>
      <c r="F70">
        <v>18000</v>
      </c>
      <c r="G70">
        <v>3</v>
      </c>
      <c r="H70" t="str">
        <f t="shared" si="3"/>
        <v>10-03-2024</v>
      </c>
      <c r="I70" s="3" t="s">
        <v>170</v>
      </c>
      <c r="J70" t="s">
        <v>36</v>
      </c>
      <c r="K70" t="str">
        <f>PROPER(J:J)</f>
        <v>Chennai</v>
      </c>
      <c r="L70" t="s">
        <v>10</v>
      </c>
      <c r="M70" t="s">
        <v>23</v>
      </c>
    </row>
    <row r="71" spans="1:13" x14ac:dyDescent="0.35">
      <c r="A71">
        <v>70</v>
      </c>
      <c r="B71" t="s">
        <v>171</v>
      </c>
      <c r="C71" t="s">
        <v>42</v>
      </c>
      <c r="D71" t="s">
        <v>51</v>
      </c>
      <c r="E71" t="str">
        <f t="shared" si="2"/>
        <v>Accessories</v>
      </c>
      <c r="F71">
        <v>2500</v>
      </c>
      <c r="G71">
        <v>3</v>
      </c>
      <c r="H71" t="str">
        <f t="shared" si="3"/>
        <v>11-03-2024</v>
      </c>
      <c r="I71" s="3" t="s">
        <v>172</v>
      </c>
      <c r="J71" t="s">
        <v>27</v>
      </c>
      <c r="K71" t="str">
        <f>PROPER(J:J)</f>
        <v>Pune</v>
      </c>
      <c r="L71" t="s">
        <v>10</v>
      </c>
      <c r="M71" t="s">
        <v>23</v>
      </c>
    </row>
    <row r="72" spans="1:13" x14ac:dyDescent="0.35">
      <c r="A72">
        <v>71</v>
      </c>
      <c r="B72" t="s">
        <v>173</v>
      </c>
      <c r="C72" t="s">
        <v>42</v>
      </c>
      <c r="D72" t="s">
        <v>51</v>
      </c>
      <c r="E72" t="str">
        <f t="shared" si="2"/>
        <v>Accessories</v>
      </c>
      <c r="F72">
        <v>2500</v>
      </c>
      <c r="G72">
        <v>3</v>
      </c>
      <c r="H72" t="str">
        <f t="shared" si="3"/>
        <v>12-03-2024</v>
      </c>
      <c r="I72" s="3" t="s">
        <v>174</v>
      </c>
      <c r="J72" t="s">
        <v>36</v>
      </c>
      <c r="K72" t="str">
        <f>PROPER(J:J)</f>
        <v>Chennai</v>
      </c>
      <c r="L72" t="s">
        <v>32</v>
      </c>
      <c r="M72" t="s">
        <v>11</v>
      </c>
    </row>
    <row r="73" spans="1:13" x14ac:dyDescent="0.35">
      <c r="A73">
        <v>72</v>
      </c>
      <c r="B73" t="s">
        <v>175</v>
      </c>
      <c r="C73" t="s">
        <v>13</v>
      </c>
      <c r="D73" t="s">
        <v>14</v>
      </c>
      <c r="E73" t="str">
        <f t="shared" si="2"/>
        <v>Footwear</v>
      </c>
      <c r="F73">
        <v>3000</v>
      </c>
      <c r="G73">
        <v>2</v>
      </c>
      <c r="H73" t="str">
        <f t="shared" si="3"/>
        <v>13-03-2024</v>
      </c>
      <c r="I73" s="3" t="s">
        <v>176</v>
      </c>
      <c r="J73" t="s">
        <v>9</v>
      </c>
      <c r="K73" t="str">
        <f>PROPER(J:J)</f>
        <v>Delhi</v>
      </c>
      <c r="L73" t="s">
        <v>22</v>
      </c>
      <c r="M73" t="s">
        <v>23</v>
      </c>
    </row>
    <row r="74" spans="1:13" x14ac:dyDescent="0.35">
      <c r="A74">
        <v>73</v>
      </c>
      <c r="B74" t="s">
        <v>177</v>
      </c>
      <c r="C74" t="s">
        <v>29</v>
      </c>
      <c r="D74" t="s">
        <v>30</v>
      </c>
      <c r="E74" t="str">
        <f t="shared" si="2"/>
        <v>Clothing</v>
      </c>
      <c r="F74">
        <v>1200</v>
      </c>
      <c r="G74">
        <v>1</v>
      </c>
      <c r="H74" t="str">
        <f t="shared" si="3"/>
        <v>14-03-2024</v>
      </c>
      <c r="I74" s="3" t="s">
        <v>178</v>
      </c>
      <c r="J74" t="s">
        <v>60</v>
      </c>
      <c r="K74" t="str">
        <f>PROPER(J:J)</f>
        <v>Hyderabad</v>
      </c>
      <c r="L74" t="s">
        <v>22</v>
      </c>
      <c r="M74" t="s">
        <v>17</v>
      </c>
    </row>
    <row r="75" spans="1:13" x14ac:dyDescent="0.35">
      <c r="A75">
        <v>74</v>
      </c>
      <c r="B75" t="s">
        <v>179</v>
      </c>
      <c r="C75" t="s">
        <v>34</v>
      </c>
      <c r="D75" t="s">
        <v>20</v>
      </c>
      <c r="E75" t="str">
        <f t="shared" si="2"/>
        <v>Electronics</v>
      </c>
      <c r="F75">
        <v>1500</v>
      </c>
      <c r="G75">
        <v>3</v>
      </c>
      <c r="H75" t="str">
        <f t="shared" si="3"/>
        <v>15-03-2024</v>
      </c>
      <c r="I75" s="3" t="s">
        <v>180</v>
      </c>
      <c r="J75" t="s">
        <v>60</v>
      </c>
      <c r="K75" t="str">
        <f>PROPER(J:J)</f>
        <v>Hyderabad</v>
      </c>
      <c r="L75" t="s">
        <v>49</v>
      </c>
      <c r="M75" t="s">
        <v>23</v>
      </c>
    </row>
    <row r="76" spans="1:13" x14ac:dyDescent="0.35">
      <c r="A76">
        <v>75</v>
      </c>
      <c r="B76" t="s">
        <v>181</v>
      </c>
      <c r="C76" t="s">
        <v>19</v>
      </c>
      <c r="D76" t="s">
        <v>20</v>
      </c>
      <c r="E76" t="str">
        <f t="shared" si="2"/>
        <v>Electronics</v>
      </c>
      <c r="G76">
        <v>3</v>
      </c>
      <c r="H76" t="str">
        <f t="shared" si="3"/>
        <v>16-03-2024</v>
      </c>
      <c r="I76" s="3" t="s">
        <v>182</v>
      </c>
      <c r="J76" t="s">
        <v>16</v>
      </c>
      <c r="K76" t="str">
        <f>PROPER(J:J)</f>
        <v>Bangalore</v>
      </c>
      <c r="L76" t="s">
        <v>22</v>
      </c>
      <c r="M76" t="s">
        <v>17</v>
      </c>
    </row>
    <row r="77" spans="1:13" x14ac:dyDescent="0.35">
      <c r="A77">
        <v>76</v>
      </c>
      <c r="B77" t="s">
        <v>183</v>
      </c>
      <c r="C77" t="s">
        <v>236</v>
      </c>
      <c r="D77" t="s">
        <v>7</v>
      </c>
      <c r="E77" t="str">
        <f t="shared" si="2"/>
        <v>Electronics</v>
      </c>
      <c r="F77">
        <v>20000</v>
      </c>
      <c r="G77">
        <v>1</v>
      </c>
      <c r="H77" t="str">
        <f t="shared" si="3"/>
        <v>17-03-2024</v>
      </c>
      <c r="I77" s="3" t="s">
        <v>184</v>
      </c>
      <c r="J77" t="s">
        <v>16</v>
      </c>
      <c r="K77" t="str">
        <f>PROPER(J:J)</f>
        <v>Bangalore</v>
      </c>
      <c r="L77" t="s">
        <v>10</v>
      </c>
      <c r="M77" t="s">
        <v>11</v>
      </c>
    </row>
    <row r="78" spans="1:13" x14ac:dyDescent="0.35">
      <c r="A78">
        <v>77</v>
      </c>
      <c r="B78" t="s">
        <v>185</v>
      </c>
      <c r="C78" t="s">
        <v>29</v>
      </c>
      <c r="D78" t="s">
        <v>30</v>
      </c>
      <c r="E78" t="str">
        <f t="shared" si="2"/>
        <v>Clothing</v>
      </c>
      <c r="F78">
        <v>1200</v>
      </c>
      <c r="G78">
        <v>2</v>
      </c>
      <c r="H78" t="str">
        <f t="shared" si="3"/>
        <v>18-03-2024</v>
      </c>
      <c r="I78" s="3" t="s">
        <v>186</v>
      </c>
      <c r="J78" t="s">
        <v>60</v>
      </c>
      <c r="K78" t="str">
        <f>PROPER(J:J)</f>
        <v>Hyderabad</v>
      </c>
      <c r="L78" t="s">
        <v>10</v>
      </c>
      <c r="M78" t="s">
        <v>23</v>
      </c>
    </row>
    <row r="79" spans="1:13" x14ac:dyDescent="0.35">
      <c r="A79">
        <v>78</v>
      </c>
      <c r="B79" t="s">
        <v>187</v>
      </c>
      <c r="C79" t="s">
        <v>13</v>
      </c>
      <c r="D79" t="s">
        <v>25</v>
      </c>
      <c r="E79" t="str">
        <f t="shared" si="2"/>
        <v>Footwear</v>
      </c>
      <c r="F79">
        <v>3000</v>
      </c>
      <c r="G79">
        <v>2</v>
      </c>
      <c r="H79" t="str">
        <f t="shared" si="3"/>
        <v>19-03-2024</v>
      </c>
      <c r="I79" s="3" t="s">
        <v>188</v>
      </c>
      <c r="J79" t="s">
        <v>9</v>
      </c>
      <c r="K79" t="str">
        <f>PROPER(J:J)</f>
        <v>Delhi</v>
      </c>
      <c r="L79" t="s">
        <v>10</v>
      </c>
      <c r="M79" t="s">
        <v>11</v>
      </c>
    </row>
    <row r="80" spans="1:13" x14ac:dyDescent="0.35">
      <c r="A80">
        <v>79</v>
      </c>
      <c r="B80" t="s">
        <v>189</v>
      </c>
      <c r="C80" t="s">
        <v>13</v>
      </c>
      <c r="D80" t="s">
        <v>25</v>
      </c>
      <c r="E80" t="str">
        <f t="shared" si="2"/>
        <v>Footwear</v>
      </c>
      <c r="F80">
        <v>3000</v>
      </c>
      <c r="G80">
        <v>3</v>
      </c>
      <c r="H80" t="str">
        <f t="shared" si="3"/>
        <v>20-03-2024</v>
      </c>
      <c r="I80" s="3" t="s">
        <v>190</v>
      </c>
      <c r="J80" t="s">
        <v>60</v>
      </c>
      <c r="K80" t="str">
        <f>PROPER(J:J)</f>
        <v>Hyderabad</v>
      </c>
      <c r="L80" t="s">
        <v>32</v>
      </c>
    </row>
    <row r="81" spans="1:13" x14ac:dyDescent="0.35">
      <c r="A81">
        <v>80</v>
      </c>
      <c r="B81" t="s">
        <v>191</v>
      </c>
      <c r="C81" t="s">
        <v>34</v>
      </c>
      <c r="D81" t="s">
        <v>20</v>
      </c>
      <c r="E81" t="str">
        <f t="shared" si="2"/>
        <v>Electronics</v>
      </c>
      <c r="F81">
        <v>1500</v>
      </c>
      <c r="G81">
        <v>2</v>
      </c>
      <c r="H81" t="str">
        <f t="shared" si="3"/>
        <v>21-03-2024</v>
      </c>
      <c r="I81" s="3" t="s">
        <v>192</v>
      </c>
      <c r="J81" t="s">
        <v>9</v>
      </c>
      <c r="K81" t="str">
        <f>PROPER(J:J)</f>
        <v>Delhi</v>
      </c>
      <c r="L81" t="s">
        <v>10</v>
      </c>
      <c r="M81" t="s">
        <v>23</v>
      </c>
    </row>
    <row r="82" spans="1:13" x14ac:dyDescent="0.35">
      <c r="A82">
        <v>81</v>
      </c>
      <c r="B82" t="s">
        <v>193</v>
      </c>
      <c r="C82" t="s">
        <v>13</v>
      </c>
      <c r="D82" t="s">
        <v>25</v>
      </c>
      <c r="E82" t="str">
        <f t="shared" si="2"/>
        <v>Footwear</v>
      </c>
      <c r="F82">
        <v>3000</v>
      </c>
      <c r="G82">
        <v>3</v>
      </c>
      <c r="H82" t="str">
        <f t="shared" si="3"/>
        <v>00-01-1900</v>
      </c>
      <c r="J82" t="s">
        <v>60</v>
      </c>
      <c r="K82" t="str">
        <f>PROPER(J:J)</f>
        <v>Hyderabad</v>
      </c>
      <c r="L82" t="s">
        <v>22</v>
      </c>
      <c r="M82" t="s">
        <v>17</v>
      </c>
    </row>
    <row r="83" spans="1:13" x14ac:dyDescent="0.35">
      <c r="A83">
        <v>82</v>
      </c>
      <c r="B83" t="s">
        <v>194</v>
      </c>
      <c r="C83" t="s">
        <v>6</v>
      </c>
      <c r="D83" t="s">
        <v>20</v>
      </c>
      <c r="E83" t="str">
        <f t="shared" si="2"/>
        <v>Electronics</v>
      </c>
      <c r="F83">
        <v>20000</v>
      </c>
      <c r="G83">
        <v>3</v>
      </c>
      <c r="H83" t="str">
        <f t="shared" si="3"/>
        <v>23-03-2024</v>
      </c>
      <c r="I83" s="3" t="s">
        <v>195</v>
      </c>
      <c r="J83" t="s">
        <v>73</v>
      </c>
      <c r="K83" t="str">
        <f>PROPER(J:J)</f>
        <v>Mumbai</v>
      </c>
      <c r="L83" t="s">
        <v>22</v>
      </c>
      <c r="M83" t="s">
        <v>17</v>
      </c>
    </row>
    <row r="84" spans="1:13" x14ac:dyDescent="0.35">
      <c r="A84">
        <v>83</v>
      </c>
      <c r="B84" t="s">
        <v>196</v>
      </c>
      <c r="C84" t="s">
        <v>56</v>
      </c>
      <c r="D84" t="s">
        <v>20</v>
      </c>
      <c r="E84" t="str">
        <f t="shared" si="2"/>
        <v>Electronics</v>
      </c>
      <c r="F84">
        <v>55000</v>
      </c>
      <c r="G84">
        <v>1</v>
      </c>
      <c r="H84" t="str">
        <f t="shared" si="3"/>
        <v>24-03-2024</v>
      </c>
      <c r="I84" s="3" t="s">
        <v>197</v>
      </c>
      <c r="J84" t="s">
        <v>73</v>
      </c>
      <c r="K84" t="str">
        <f>PROPER(J:J)</f>
        <v>Mumbai</v>
      </c>
      <c r="L84" t="s">
        <v>32</v>
      </c>
      <c r="M84" t="s">
        <v>11</v>
      </c>
    </row>
    <row r="85" spans="1:13" x14ac:dyDescent="0.35">
      <c r="A85">
        <v>84</v>
      </c>
      <c r="B85" t="s">
        <v>198</v>
      </c>
      <c r="C85" t="s">
        <v>34</v>
      </c>
      <c r="D85" t="s">
        <v>20</v>
      </c>
      <c r="E85" t="str">
        <f t="shared" si="2"/>
        <v>Electronics</v>
      </c>
      <c r="F85">
        <v>1500</v>
      </c>
      <c r="G85">
        <v>2</v>
      </c>
      <c r="H85" t="str">
        <f t="shared" si="3"/>
        <v>25-03-2024</v>
      </c>
      <c r="I85" s="3" t="s">
        <v>199</v>
      </c>
      <c r="J85" t="s">
        <v>27</v>
      </c>
      <c r="K85" t="str">
        <f>PROPER(J:J)</f>
        <v>Pune</v>
      </c>
      <c r="L85" t="s">
        <v>49</v>
      </c>
      <c r="M85" t="s">
        <v>11</v>
      </c>
    </row>
    <row r="86" spans="1:13" x14ac:dyDescent="0.35">
      <c r="A86">
        <v>85</v>
      </c>
      <c r="B86" t="s">
        <v>200</v>
      </c>
      <c r="C86" t="s">
        <v>6</v>
      </c>
      <c r="D86" t="s">
        <v>20</v>
      </c>
      <c r="E86" t="str">
        <f t="shared" si="2"/>
        <v>Electronics</v>
      </c>
      <c r="F86">
        <v>20000</v>
      </c>
      <c r="G86">
        <v>3</v>
      </c>
      <c r="H86" t="str">
        <f t="shared" si="3"/>
        <v>26-03-2024</v>
      </c>
      <c r="I86" s="3" t="s">
        <v>201</v>
      </c>
      <c r="J86" t="s">
        <v>36</v>
      </c>
      <c r="K86" t="str">
        <f>PROPER(J:J)</f>
        <v>Chennai</v>
      </c>
      <c r="L86" t="s">
        <v>10</v>
      </c>
      <c r="M86" t="s">
        <v>11</v>
      </c>
    </row>
    <row r="87" spans="1:13" x14ac:dyDescent="0.35">
      <c r="A87">
        <v>86</v>
      </c>
      <c r="B87" t="s">
        <v>202</v>
      </c>
      <c r="C87" t="s">
        <v>19</v>
      </c>
      <c r="D87" t="s">
        <v>20</v>
      </c>
      <c r="E87" t="str">
        <f t="shared" si="2"/>
        <v>Electronics</v>
      </c>
      <c r="F87">
        <v>18000</v>
      </c>
      <c r="G87">
        <v>1</v>
      </c>
      <c r="H87" t="str">
        <f t="shared" si="3"/>
        <v>27-03-2024</v>
      </c>
      <c r="I87" s="3" t="s">
        <v>203</v>
      </c>
      <c r="J87" t="s">
        <v>16</v>
      </c>
      <c r="K87" t="str">
        <f>PROPER(J:J)</f>
        <v>Bangalore</v>
      </c>
      <c r="L87" t="s">
        <v>22</v>
      </c>
      <c r="M87" t="s">
        <v>11</v>
      </c>
    </row>
    <row r="88" spans="1:13" x14ac:dyDescent="0.35">
      <c r="A88">
        <v>87</v>
      </c>
      <c r="B88" t="s">
        <v>204</v>
      </c>
      <c r="C88" t="s">
        <v>6</v>
      </c>
      <c r="D88" t="s">
        <v>20</v>
      </c>
      <c r="E88" t="str">
        <f t="shared" si="2"/>
        <v>Electronics</v>
      </c>
      <c r="F88">
        <v>20000</v>
      </c>
      <c r="G88">
        <v>2</v>
      </c>
      <c r="H88" t="str">
        <f t="shared" si="3"/>
        <v>28-03-2024</v>
      </c>
      <c r="I88" s="3" t="s">
        <v>205</v>
      </c>
      <c r="J88" t="s">
        <v>16</v>
      </c>
      <c r="K88" t="str">
        <f>PROPER(J:J)</f>
        <v>Bangalore</v>
      </c>
      <c r="L88" t="s">
        <v>32</v>
      </c>
      <c r="M88" t="s">
        <v>17</v>
      </c>
    </row>
    <row r="89" spans="1:13" x14ac:dyDescent="0.35">
      <c r="A89">
        <v>88</v>
      </c>
      <c r="B89" t="s">
        <v>206</v>
      </c>
      <c r="C89" t="s">
        <v>236</v>
      </c>
      <c r="D89" t="s">
        <v>25</v>
      </c>
      <c r="E89" t="str">
        <f t="shared" si="2"/>
        <v>Footwear</v>
      </c>
      <c r="F89">
        <v>3000</v>
      </c>
      <c r="G89">
        <v>1</v>
      </c>
      <c r="H89" t="str">
        <f t="shared" si="3"/>
        <v>29-03-2024</v>
      </c>
      <c r="I89" s="3" t="s">
        <v>207</v>
      </c>
      <c r="J89" t="s">
        <v>36</v>
      </c>
      <c r="K89" t="str">
        <f>PROPER(J:J)</f>
        <v>Chennai</v>
      </c>
      <c r="L89" t="s">
        <v>49</v>
      </c>
      <c r="M89" t="s">
        <v>17</v>
      </c>
    </row>
    <row r="90" spans="1:13" x14ac:dyDescent="0.35">
      <c r="A90">
        <v>89</v>
      </c>
      <c r="B90" t="s">
        <v>208</v>
      </c>
      <c r="C90" t="s">
        <v>42</v>
      </c>
      <c r="D90" t="s">
        <v>51</v>
      </c>
      <c r="E90" t="str">
        <f t="shared" si="2"/>
        <v>Accessories</v>
      </c>
      <c r="F90">
        <v>2500</v>
      </c>
      <c r="G90">
        <v>2</v>
      </c>
      <c r="H90" t="str">
        <f t="shared" si="3"/>
        <v>30-03-2024</v>
      </c>
      <c r="I90" s="3" t="s">
        <v>209</v>
      </c>
      <c r="J90" t="s">
        <v>36</v>
      </c>
      <c r="K90" t="str">
        <f>PROPER(J:J)</f>
        <v>Chennai</v>
      </c>
      <c r="L90" t="s">
        <v>49</v>
      </c>
      <c r="M90" t="s">
        <v>23</v>
      </c>
    </row>
    <row r="91" spans="1:13" x14ac:dyDescent="0.35">
      <c r="A91">
        <v>90</v>
      </c>
      <c r="B91" t="s">
        <v>210</v>
      </c>
      <c r="C91" t="s">
        <v>56</v>
      </c>
      <c r="D91" t="s">
        <v>20</v>
      </c>
      <c r="E91" t="str">
        <f t="shared" si="2"/>
        <v>Electronics</v>
      </c>
      <c r="F91">
        <v>55000</v>
      </c>
      <c r="G91">
        <v>2</v>
      </c>
      <c r="H91" t="str">
        <f t="shared" si="3"/>
        <v>31-03-2024</v>
      </c>
      <c r="I91" s="3" t="s">
        <v>211</v>
      </c>
      <c r="J91" t="s">
        <v>9</v>
      </c>
      <c r="K91" t="str">
        <f>PROPER(J:J)</f>
        <v>Delhi</v>
      </c>
      <c r="L91" t="s">
        <v>22</v>
      </c>
      <c r="M91" t="s">
        <v>23</v>
      </c>
    </row>
    <row r="92" spans="1:13" x14ac:dyDescent="0.35">
      <c r="A92">
        <v>91</v>
      </c>
      <c r="B92" t="s">
        <v>212</v>
      </c>
      <c r="C92" t="s">
        <v>56</v>
      </c>
      <c r="D92" t="s">
        <v>20</v>
      </c>
      <c r="E92" t="str">
        <f t="shared" si="2"/>
        <v>Electronics</v>
      </c>
      <c r="F92">
        <v>55000</v>
      </c>
      <c r="G92">
        <v>2</v>
      </c>
      <c r="H92" t="str">
        <f t="shared" si="3"/>
        <v>01-04-2024</v>
      </c>
      <c r="I92" s="3" t="s">
        <v>213</v>
      </c>
      <c r="J92" t="s">
        <v>73</v>
      </c>
      <c r="K92" t="str">
        <f>PROPER(J:J)</f>
        <v>Mumbai</v>
      </c>
      <c r="L92" t="s">
        <v>22</v>
      </c>
      <c r="M92" t="s">
        <v>23</v>
      </c>
    </row>
    <row r="93" spans="1:13" x14ac:dyDescent="0.35">
      <c r="A93">
        <v>92</v>
      </c>
      <c r="B93" t="s">
        <v>214</v>
      </c>
      <c r="C93" t="s">
        <v>29</v>
      </c>
      <c r="D93" t="s">
        <v>30</v>
      </c>
      <c r="E93" t="str">
        <f t="shared" si="2"/>
        <v>Clothing</v>
      </c>
      <c r="F93">
        <v>1200</v>
      </c>
      <c r="G93">
        <v>1</v>
      </c>
      <c r="H93" t="str">
        <f t="shared" si="3"/>
        <v>02-04-2024</v>
      </c>
      <c r="I93" s="3" t="s">
        <v>215</v>
      </c>
      <c r="J93" t="s">
        <v>73</v>
      </c>
      <c r="K93" t="str">
        <f>PROPER(J:J)</f>
        <v>Mumbai</v>
      </c>
      <c r="L93" t="s">
        <v>32</v>
      </c>
      <c r="M93" t="s">
        <v>17</v>
      </c>
    </row>
    <row r="94" spans="1:13" x14ac:dyDescent="0.35">
      <c r="A94">
        <v>93</v>
      </c>
      <c r="B94" t="s">
        <v>216</v>
      </c>
      <c r="C94" t="s">
        <v>19</v>
      </c>
      <c r="D94" t="s">
        <v>20</v>
      </c>
      <c r="E94" t="str">
        <f t="shared" si="2"/>
        <v>Electronics</v>
      </c>
      <c r="F94">
        <v>18000</v>
      </c>
      <c r="G94">
        <v>3</v>
      </c>
      <c r="H94" t="str">
        <f t="shared" si="3"/>
        <v>03-04-2024</v>
      </c>
      <c r="I94" s="3" t="s">
        <v>217</v>
      </c>
      <c r="J94" t="s">
        <v>16</v>
      </c>
      <c r="K94" t="str">
        <f>PROPER(J:J)</f>
        <v>Bangalore</v>
      </c>
      <c r="L94" t="s">
        <v>10</v>
      </c>
      <c r="M94" t="s">
        <v>17</v>
      </c>
    </row>
    <row r="95" spans="1:13" x14ac:dyDescent="0.35">
      <c r="A95">
        <v>94</v>
      </c>
      <c r="B95" t="s">
        <v>218</v>
      </c>
      <c r="C95" t="s">
        <v>56</v>
      </c>
      <c r="D95" t="s">
        <v>7</v>
      </c>
      <c r="E95" t="str">
        <f t="shared" si="2"/>
        <v>Electronics</v>
      </c>
      <c r="F95">
        <v>55000</v>
      </c>
      <c r="G95">
        <v>2</v>
      </c>
      <c r="H95" t="str">
        <f t="shared" si="3"/>
        <v>04-04-2024</v>
      </c>
      <c r="I95" s="3" t="s">
        <v>219</v>
      </c>
      <c r="J95" t="s">
        <v>36</v>
      </c>
      <c r="K95" t="str">
        <f>PROPER(J:J)</f>
        <v>Chennai</v>
      </c>
      <c r="L95" t="s">
        <v>32</v>
      </c>
      <c r="M95" t="s">
        <v>11</v>
      </c>
    </row>
    <row r="96" spans="1:13" x14ac:dyDescent="0.35">
      <c r="A96">
        <v>95</v>
      </c>
      <c r="B96" t="s">
        <v>220</v>
      </c>
      <c r="C96" t="s">
        <v>56</v>
      </c>
      <c r="D96" t="s">
        <v>20</v>
      </c>
      <c r="E96" t="str">
        <f t="shared" si="2"/>
        <v>Electronics</v>
      </c>
      <c r="F96">
        <v>55000</v>
      </c>
      <c r="G96">
        <v>2</v>
      </c>
      <c r="H96" t="str">
        <f t="shared" si="3"/>
        <v>05-04-2024</v>
      </c>
      <c r="I96" s="3" t="s">
        <v>221</v>
      </c>
      <c r="J96" t="s">
        <v>36</v>
      </c>
      <c r="K96" t="str">
        <f>PROPER(J:J)</f>
        <v>Chennai</v>
      </c>
      <c r="L96" t="s">
        <v>32</v>
      </c>
      <c r="M96" t="s">
        <v>17</v>
      </c>
    </row>
    <row r="97" spans="1:13" x14ac:dyDescent="0.35">
      <c r="A97">
        <v>96</v>
      </c>
      <c r="B97" t="s">
        <v>222</v>
      </c>
      <c r="C97" t="s">
        <v>56</v>
      </c>
      <c r="D97" t="s">
        <v>20</v>
      </c>
      <c r="E97" t="str">
        <f t="shared" si="2"/>
        <v>Electronics</v>
      </c>
      <c r="F97">
        <v>55000</v>
      </c>
      <c r="H97" t="str">
        <f t="shared" si="3"/>
        <v>06-04-2024</v>
      </c>
      <c r="I97" s="3" t="s">
        <v>223</v>
      </c>
      <c r="J97" t="s">
        <v>9</v>
      </c>
      <c r="K97" t="str">
        <f>PROPER(J:J)</f>
        <v>Delhi</v>
      </c>
      <c r="L97" t="s">
        <v>49</v>
      </c>
      <c r="M97" t="s">
        <v>23</v>
      </c>
    </row>
    <row r="98" spans="1:13" x14ac:dyDescent="0.35">
      <c r="A98">
        <v>97</v>
      </c>
      <c r="B98" t="s">
        <v>224</v>
      </c>
      <c r="C98" t="s">
        <v>56</v>
      </c>
      <c r="D98" t="s">
        <v>20</v>
      </c>
      <c r="E98" t="str">
        <f t="shared" si="2"/>
        <v>Electronics</v>
      </c>
      <c r="F98">
        <v>55000</v>
      </c>
      <c r="G98">
        <v>1</v>
      </c>
      <c r="H98" t="str">
        <f t="shared" si="3"/>
        <v>07-04-2024</v>
      </c>
      <c r="I98" s="3" t="s">
        <v>225</v>
      </c>
      <c r="J98" t="s">
        <v>36</v>
      </c>
      <c r="K98" t="str">
        <f>PROPER(J:J)</f>
        <v>Chennai</v>
      </c>
      <c r="L98" t="s">
        <v>32</v>
      </c>
      <c r="M98" t="s">
        <v>17</v>
      </c>
    </row>
    <row r="99" spans="1:13" x14ac:dyDescent="0.35">
      <c r="A99">
        <v>98</v>
      </c>
      <c r="B99" t="s">
        <v>226</v>
      </c>
      <c r="C99" t="s">
        <v>19</v>
      </c>
      <c r="D99" t="s">
        <v>20</v>
      </c>
      <c r="E99" t="str">
        <f t="shared" si="2"/>
        <v>Electronics</v>
      </c>
      <c r="F99">
        <v>18000</v>
      </c>
      <c r="G99">
        <v>2</v>
      </c>
      <c r="H99" t="str">
        <f t="shared" si="3"/>
        <v>08-04-2024</v>
      </c>
      <c r="I99" s="3" t="s">
        <v>227</v>
      </c>
      <c r="J99" t="s">
        <v>27</v>
      </c>
      <c r="K99" t="str">
        <f>PROPER(J:J)</f>
        <v>Pune</v>
      </c>
      <c r="L99" t="s">
        <v>49</v>
      </c>
      <c r="M99" t="s">
        <v>23</v>
      </c>
    </row>
    <row r="100" spans="1:13" x14ac:dyDescent="0.35">
      <c r="A100">
        <v>99</v>
      </c>
      <c r="B100" t="s">
        <v>228</v>
      </c>
      <c r="C100" t="s">
        <v>13</v>
      </c>
      <c r="D100" t="s">
        <v>25</v>
      </c>
      <c r="E100" t="str">
        <f t="shared" si="2"/>
        <v>Footwear</v>
      </c>
      <c r="F100">
        <v>3000</v>
      </c>
      <c r="G100">
        <v>2</v>
      </c>
      <c r="H100" t="str">
        <f t="shared" si="3"/>
        <v>09-04-2024</v>
      </c>
      <c r="I100" s="3" t="s">
        <v>229</v>
      </c>
      <c r="J100" t="s">
        <v>73</v>
      </c>
      <c r="K100" t="str">
        <f>PROPER(J:J)</f>
        <v>Mumbai</v>
      </c>
      <c r="L100" t="s">
        <v>22</v>
      </c>
      <c r="M100" t="s">
        <v>11</v>
      </c>
    </row>
    <row r="101" spans="1:13" x14ac:dyDescent="0.35">
      <c r="A101">
        <v>100</v>
      </c>
      <c r="B101" t="s">
        <v>230</v>
      </c>
      <c r="C101" t="s">
        <v>29</v>
      </c>
      <c r="D101" t="s">
        <v>30</v>
      </c>
      <c r="E101" t="str">
        <f t="shared" si="2"/>
        <v>Clothing</v>
      </c>
      <c r="F101">
        <v>1200</v>
      </c>
      <c r="G101">
        <v>1</v>
      </c>
      <c r="H101" t="str">
        <f t="shared" si="3"/>
        <v>10-04-2024</v>
      </c>
      <c r="I101" s="3" t="s">
        <v>231</v>
      </c>
      <c r="J101" t="s">
        <v>27</v>
      </c>
      <c r="K101" t="str">
        <f>PROPER(J:J)</f>
        <v>Pune</v>
      </c>
      <c r="L101" t="s">
        <v>10</v>
      </c>
      <c r="M1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Sravanthi Komanduri</dc:creator>
  <cp:lastModifiedBy>Sravanthi Komanduri</cp:lastModifiedBy>
  <dcterms:created xsi:type="dcterms:W3CDTF">2015-06-05T18:17:20Z</dcterms:created>
  <dcterms:modified xsi:type="dcterms:W3CDTF">2026-04-09T14:07:56Z</dcterms:modified>
</cp:coreProperties>
</file>